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a07954d62c6eb6/Desktop/"/>
    </mc:Choice>
  </mc:AlternateContent>
  <xr:revisionPtr revIDLastSave="0" documentId="8_{5CB79F67-0AEE-430C-A953-96ABBE441DED}" xr6:coauthVersionLast="47" xr6:coauthVersionMax="47" xr10:uidLastSave="{00000000-0000-0000-0000-000000000000}"/>
  <bookViews>
    <workbookView xWindow="-108" yWindow="-108" windowWidth="23256" windowHeight="12456" activeTab="2" xr2:uid="{1E11CB46-6B9F-4C7F-9A40-92BEEDEA4F41}"/>
  </bookViews>
  <sheets>
    <sheet name="Profile" sheetId="3" r:id="rId1"/>
    <sheet name="Capacity" sheetId="2" r:id="rId2"/>
    <sheet name="Logic" sheetId="5" r:id="rId3"/>
    <sheet name="OUTPUT" sheetId="6" r:id="rId4"/>
    <sheet name="Loan_Amortization" sheetId="9" r:id="rId5"/>
    <sheet name="Constant Chart" sheetId="8" r:id="rId6"/>
    <sheet name="Investor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6" l="1"/>
  <c r="C9" i="5"/>
  <c r="C10" i="5"/>
  <c r="C11" i="2"/>
  <c r="C8" i="5"/>
  <c r="C17" i="6"/>
  <c r="C38" i="5"/>
  <c r="C22" i="5"/>
  <c r="C20" i="5"/>
  <c r="C19" i="5"/>
  <c r="C18" i="5"/>
  <c r="C17" i="5"/>
  <c r="C16" i="5"/>
  <c r="C15" i="5"/>
  <c r="C14" i="5"/>
  <c r="C21" i="5"/>
  <c r="C26" i="5"/>
  <c r="C28" i="5"/>
  <c r="C35" i="5"/>
  <c r="C33" i="5"/>
  <c r="C36" i="5"/>
  <c r="C34" i="5"/>
  <c r="C32" i="5"/>
  <c r="C36" i="6"/>
  <c r="B44" i="5"/>
  <c r="B43" i="5"/>
  <c r="C35" i="6"/>
  <c r="C24" i="5"/>
  <c r="C25" i="5"/>
  <c r="C27" i="5"/>
  <c r="C30" i="5"/>
  <c r="C29" i="5"/>
  <c r="C37" i="5"/>
  <c r="E14" i="5"/>
  <c r="F14" i="5"/>
  <c r="G14" i="5"/>
  <c r="H14" i="5"/>
  <c r="I14" i="5"/>
  <c r="J14" i="5"/>
  <c r="K14" i="5"/>
  <c r="C23" i="5"/>
  <c r="C10" i="6"/>
  <c r="C13" i="6"/>
  <c r="C12" i="6"/>
  <c r="C11" i="6"/>
  <c r="C100" i="2"/>
  <c r="C96" i="2"/>
  <c r="C89" i="2"/>
  <c r="C88" i="2"/>
  <c r="C90" i="2" s="1"/>
  <c r="C91" i="2" s="1"/>
  <c r="C81" i="2"/>
  <c r="C6" i="6"/>
  <c r="C11" i="5"/>
  <c r="B2" i="9"/>
  <c r="C2" i="9"/>
  <c r="D2" i="9"/>
  <c r="E2" i="9"/>
  <c r="F2" i="9"/>
  <c r="A3" i="9"/>
  <c r="B3" i="9"/>
  <c r="C3" i="9"/>
  <c r="D3" i="9"/>
  <c r="E3" i="9"/>
  <c r="F3" i="9"/>
  <c r="A4" i="9"/>
  <c r="B4" i="9"/>
  <c r="C4" i="9"/>
  <c r="D4" i="9"/>
  <c r="E4" i="9"/>
  <c r="F4" i="9"/>
  <c r="A5" i="9"/>
  <c r="B5" i="9"/>
  <c r="C5" i="9"/>
  <c r="D5" i="9"/>
  <c r="E5" i="9"/>
  <c r="F5" i="9"/>
  <c r="A6" i="9"/>
  <c r="B6" i="9"/>
  <c r="C6" i="9"/>
  <c r="D6" i="9"/>
  <c r="E6" i="9"/>
  <c r="F6" i="9"/>
  <c r="A7" i="9"/>
  <c r="B7" i="9"/>
  <c r="C7" i="9"/>
  <c r="D7" i="9"/>
  <c r="E7" i="9"/>
  <c r="F7" i="9"/>
  <c r="A8" i="9"/>
  <c r="B8" i="9"/>
  <c r="C8" i="9"/>
  <c r="D8" i="9"/>
  <c r="E8" i="9"/>
  <c r="F8" i="9"/>
  <c r="A9" i="9"/>
  <c r="B9" i="9"/>
  <c r="C9" i="9"/>
  <c r="D9" i="9"/>
  <c r="E9" i="9"/>
  <c r="F9" i="9"/>
  <c r="A10" i="9"/>
  <c r="B10" i="9"/>
  <c r="C10" i="9"/>
  <c r="D10" i="9"/>
  <c r="E10" i="9"/>
  <c r="F10" i="9"/>
  <c r="A11" i="9"/>
  <c r="B11" i="9"/>
  <c r="C11" i="9"/>
  <c r="D11" i="9"/>
  <c r="E11" i="9"/>
  <c r="F11" i="9"/>
  <c r="A12" i="9"/>
  <c r="B12" i="9"/>
  <c r="C12" i="9"/>
  <c r="D12" i="9"/>
  <c r="E12" i="9"/>
  <c r="F12" i="9"/>
  <c r="A13" i="9"/>
  <c r="B13" i="9"/>
  <c r="C13" i="9"/>
  <c r="D13" i="9"/>
  <c r="E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A31" i="9"/>
  <c r="B31" i="9"/>
  <c r="C31" i="9"/>
  <c r="D31" i="9"/>
  <c r="E31" i="9"/>
  <c r="F31" i="9"/>
  <c r="A32" i="9"/>
  <c r="B32" i="9"/>
  <c r="C32" i="9"/>
  <c r="D32" i="9"/>
  <c r="E32" i="9"/>
  <c r="F32" i="9"/>
  <c r="A33" i="9"/>
  <c r="B33" i="9"/>
  <c r="C33" i="9"/>
  <c r="D33" i="9"/>
  <c r="E33" i="9"/>
  <c r="F33" i="9"/>
  <c r="A34" i="9"/>
  <c r="B34" i="9"/>
  <c r="C34" i="9"/>
  <c r="D34" i="9"/>
  <c r="E34" i="9"/>
  <c r="F34" i="9"/>
  <c r="A35" i="9"/>
  <c r="B35" i="9"/>
  <c r="C35" i="9"/>
  <c r="D35" i="9"/>
  <c r="E35" i="9"/>
  <c r="F35" i="9"/>
  <c r="A36" i="9"/>
  <c r="B36" i="9"/>
  <c r="C36" i="9"/>
  <c r="D36" i="9"/>
  <c r="E36" i="9"/>
  <c r="F36" i="9"/>
  <c r="A37" i="9"/>
  <c r="B37" i="9"/>
  <c r="C37" i="9"/>
  <c r="D37" i="9"/>
  <c r="E37" i="9"/>
  <c r="F37" i="9"/>
  <c r="A38" i="9"/>
  <c r="B38" i="9"/>
  <c r="C38" i="9"/>
  <c r="D38" i="9"/>
  <c r="E38" i="9"/>
  <c r="F38" i="9"/>
  <c r="A39" i="9"/>
  <c r="B39" i="9"/>
  <c r="C39" i="9"/>
  <c r="D39" i="9"/>
  <c r="E39" i="9"/>
  <c r="F39" i="9"/>
  <c r="A40" i="9"/>
  <c r="B40" i="9"/>
  <c r="C40" i="9"/>
  <c r="D40" i="9"/>
  <c r="E40" i="9"/>
  <c r="F40" i="9"/>
  <c r="A41" i="9"/>
  <c r="B41" i="9"/>
  <c r="C41" i="9"/>
  <c r="D41" i="9"/>
  <c r="E41" i="9"/>
  <c r="F41" i="9"/>
  <c r="A42" i="9"/>
  <c r="B42" i="9"/>
  <c r="C42" i="9"/>
  <c r="D42" i="9"/>
  <c r="E42" i="9"/>
  <c r="F42" i="9"/>
  <c r="A43" i="9"/>
  <c r="B43" i="9"/>
  <c r="C43" i="9"/>
  <c r="D43" i="9"/>
  <c r="E43" i="9"/>
  <c r="F43" i="9"/>
  <c r="A44" i="9"/>
  <c r="B44" i="9"/>
  <c r="C44" i="9"/>
  <c r="D44" i="9"/>
  <c r="E44" i="9"/>
  <c r="F44" i="9"/>
  <c r="A45" i="9"/>
  <c r="B45" i="9"/>
  <c r="C45" i="9"/>
  <c r="D45" i="9"/>
  <c r="E45" i="9"/>
  <c r="F45" i="9"/>
  <c r="A46" i="9"/>
  <c r="B46" i="9"/>
  <c r="C46" i="9"/>
  <c r="D46" i="9"/>
  <c r="E46" i="9"/>
  <c r="F46" i="9"/>
  <c r="A47" i="9"/>
  <c r="B47" i="9"/>
  <c r="C47" i="9"/>
  <c r="D47" i="9"/>
  <c r="E47" i="9"/>
  <c r="F47" i="9"/>
  <c r="A48" i="9"/>
  <c r="B48" i="9"/>
  <c r="C48" i="9"/>
  <c r="D48" i="9"/>
  <c r="E48" i="9"/>
  <c r="F48" i="9"/>
  <c r="A49" i="9"/>
  <c r="B49" i="9"/>
  <c r="C49" i="9"/>
  <c r="D49" i="9"/>
  <c r="E49" i="9"/>
  <c r="F49" i="9"/>
  <c r="A50" i="9"/>
  <c r="B50" i="9"/>
  <c r="C50" i="9"/>
  <c r="D50" i="9"/>
  <c r="E50" i="9"/>
  <c r="F50" i="9"/>
  <c r="A51" i="9"/>
  <c r="B51" i="9"/>
  <c r="C51" i="9"/>
  <c r="D51" i="9"/>
  <c r="E51" i="9"/>
  <c r="F51" i="9"/>
  <c r="A52" i="9"/>
  <c r="B52" i="9"/>
  <c r="C52" i="9"/>
  <c r="D52" i="9"/>
  <c r="E52" i="9"/>
  <c r="F52" i="9"/>
  <c r="A53" i="9"/>
  <c r="B53" i="9"/>
  <c r="C53" i="9"/>
  <c r="D53" i="9"/>
  <c r="E53" i="9"/>
  <c r="F53" i="9"/>
  <c r="A54" i="9"/>
  <c r="B54" i="9"/>
  <c r="C54" i="9"/>
  <c r="D54" i="9"/>
  <c r="E54" i="9"/>
  <c r="F54" i="9"/>
  <c r="A55" i="9"/>
  <c r="B55" i="9"/>
  <c r="C55" i="9"/>
  <c r="D55" i="9"/>
  <c r="E55" i="9"/>
  <c r="F55" i="9"/>
  <c r="A56" i="9"/>
  <c r="B56" i="9"/>
  <c r="C56" i="9"/>
  <c r="D56" i="9"/>
  <c r="E56" i="9"/>
  <c r="F56" i="9"/>
  <c r="A57" i="9"/>
  <c r="B57" i="9"/>
  <c r="C57" i="9"/>
  <c r="D57" i="9"/>
  <c r="E57" i="9"/>
  <c r="F57" i="9"/>
  <c r="A58" i="9"/>
  <c r="B58" i="9"/>
  <c r="C58" i="9"/>
  <c r="D58" i="9"/>
  <c r="E58" i="9"/>
  <c r="F58" i="9"/>
  <c r="A59" i="9"/>
  <c r="B59" i="9"/>
  <c r="C59" i="9"/>
  <c r="D59" i="9"/>
  <c r="E59" i="9"/>
  <c r="F59" i="9"/>
  <c r="A60" i="9"/>
  <c r="B60" i="9"/>
  <c r="C60" i="9"/>
  <c r="D60" i="9"/>
  <c r="E60" i="9"/>
  <c r="F60" i="9"/>
  <c r="A61" i="9"/>
  <c r="B61" i="9"/>
  <c r="C61" i="9"/>
  <c r="D61" i="9"/>
  <c r="E61" i="9"/>
  <c r="F61" i="9"/>
  <c r="A62" i="9"/>
  <c r="B62" i="9"/>
  <c r="C62" i="9"/>
  <c r="D62" i="9"/>
  <c r="E62" i="9"/>
  <c r="F62" i="9"/>
  <c r="A63" i="9"/>
  <c r="B63" i="9"/>
  <c r="C63" i="9"/>
  <c r="D63" i="9"/>
  <c r="E63" i="9"/>
  <c r="F63" i="9"/>
  <c r="A64" i="9"/>
  <c r="B64" i="9"/>
  <c r="C64" i="9"/>
  <c r="D64" i="9"/>
  <c r="E64" i="9"/>
  <c r="F64" i="9"/>
  <c r="A65" i="9"/>
  <c r="B65" i="9"/>
  <c r="C65" i="9"/>
  <c r="D65" i="9"/>
  <c r="E65" i="9"/>
  <c r="F65" i="9"/>
  <c r="A66" i="9"/>
  <c r="B66" i="9"/>
  <c r="C66" i="9"/>
  <c r="D66" i="9"/>
  <c r="E66" i="9"/>
  <c r="F66" i="9"/>
  <c r="A67" i="9"/>
  <c r="B67" i="9"/>
  <c r="C67" i="9"/>
  <c r="D67" i="9"/>
  <c r="E67" i="9"/>
  <c r="F67" i="9"/>
  <c r="A68" i="9"/>
  <c r="B68" i="9"/>
  <c r="C68" i="9"/>
  <c r="D68" i="9"/>
  <c r="E68" i="9"/>
  <c r="F68" i="9"/>
  <c r="A69" i="9"/>
  <c r="B69" i="9"/>
  <c r="C69" i="9"/>
  <c r="D69" i="9"/>
  <c r="E69" i="9"/>
  <c r="F69" i="9"/>
  <c r="A70" i="9"/>
  <c r="B70" i="9"/>
  <c r="C70" i="9"/>
  <c r="D70" i="9"/>
  <c r="E70" i="9"/>
  <c r="F70" i="9"/>
  <c r="A71" i="9"/>
  <c r="B71" i="9"/>
  <c r="C71" i="9"/>
  <c r="D71" i="9"/>
  <c r="E71" i="9"/>
  <c r="F71" i="9"/>
  <c r="A72" i="9"/>
  <c r="B72" i="9"/>
  <c r="C72" i="9"/>
  <c r="D72" i="9"/>
  <c r="E72" i="9"/>
  <c r="F72" i="9"/>
  <c r="A73" i="9"/>
  <c r="B73" i="9"/>
  <c r="C73" i="9"/>
  <c r="D73" i="9"/>
  <c r="E73" i="9"/>
  <c r="F73" i="9"/>
  <c r="A74" i="9"/>
  <c r="B74" i="9"/>
  <c r="C74" i="9"/>
  <c r="D74" i="9"/>
  <c r="E74" i="9"/>
  <c r="F74" i="9"/>
  <c r="A75" i="9"/>
  <c r="B75" i="9"/>
  <c r="C75" i="9"/>
  <c r="D75" i="9"/>
  <c r="E75" i="9"/>
  <c r="F75" i="9"/>
  <c r="A76" i="9"/>
  <c r="B76" i="9"/>
  <c r="C76" i="9"/>
  <c r="D76" i="9"/>
  <c r="E76" i="9"/>
  <c r="F76" i="9"/>
  <c r="A77" i="9"/>
  <c r="B77" i="9"/>
  <c r="C77" i="9"/>
  <c r="D77" i="9"/>
  <c r="E77" i="9"/>
  <c r="F77" i="9"/>
  <c r="A78" i="9"/>
  <c r="B78" i="9"/>
  <c r="C78" i="9"/>
  <c r="D78" i="9"/>
  <c r="E78" i="9"/>
  <c r="F78" i="9"/>
  <c r="A79" i="9"/>
  <c r="B79" i="9"/>
  <c r="C79" i="9"/>
  <c r="D79" i="9"/>
  <c r="E79" i="9"/>
  <c r="F79" i="9"/>
  <c r="A80" i="9"/>
  <c r="B80" i="9"/>
  <c r="C80" i="9"/>
  <c r="D80" i="9"/>
  <c r="E80" i="9"/>
  <c r="F80" i="9"/>
  <c r="A81" i="9"/>
  <c r="B81" i="9"/>
  <c r="C81" i="9"/>
  <c r="D81" i="9"/>
  <c r="E81" i="9"/>
  <c r="F81" i="9"/>
  <c r="A82" i="9"/>
  <c r="B82" i="9"/>
  <c r="C82" i="9"/>
  <c r="D82" i="9"/>
  <c r="E82" i="9"/>
  <c r="F82" i="9"/>
  <c r="A83" i="9"/>
  <c r="B83" i="9"/>
  <c r="C83" i="9"/>
  <c r="D83" i="9"/>
  <c r="E83" i="9"/>
  <c r="F83" i="9"/>
  <c r="A84" i="9"/>
  <c r="B84" i="9"/>
  <c r="C84" i="9"/>
  <c r="D84" i="9"/>
  <c r="E84" i="9"/>
  <c r="F84" i="9"/>
  <c r="A85" i="9"/>
  <c r="B85" i="9"/>
  <c r="C85" i="9"/>
  <c r="D85" i="9"/>
  <c r="E85" i="9"/>
  <c r="F85" i="9"/>
  <c r="A86" i="9"/>
  <c r="B86" i="9"/>
  <c r="C86" i="9"/>
  <c r="D86" i="9"/>
  <c r="E86" i="9"/>
  <c r="F86" i="9"/>
  <c r="A87" i="9"/>
  <c r="B87" i="9"/>
  <c r="C87" i="9"/>
  <c r="D87" i="9"/>
  <c r="E87" i="9"/>
  <c r="F87" i="9"/>
  <c r="A88" i="9"/>
  <c r="B88" i="9"/>
  <c r="C88" i="9"/>
  <c r="D88" i="9"/>
  <c r="E88" i="9"/>
  <c r="F88" i="9"/>
  <c r="A89" i="9"/>
  <c r="B89" i="9"/>
  <c r="C89" i="9"/>
  <c r="D89" i="9"/>
  <c r="E89" i="9"/>
  <c r="F89" i="9"/>
  <c r="A90" i="9"/>
  <c r="B90" i="9"/>
  <c r="C90" i="9"/>
  <c r="D90" i="9"/>
  <c r="E90" i="9"/>
  <c r="F90" i="9"/>
  <c r="A91" i="9"/>
  <c r="B91" i="9"/>
  <c r="C91" i="9"/>
  <c r="D91" i="9"/>
  <c r="E91" i="9"/>
  <c r="F91" i="9"/>
  <c r="A92" i="9"/>
  <c r="B92" i="9"/>
  <c r="C92" i="9"/>
  <c r="D92" i="9"/>
  <c r="E92" i="9"/>
  <c r="F92" i="9"/>
  <c r="A93" i="9"/>
  <c r="B93" i="9"/>
  <c r="C93" i="9"/>
  <c r="D93" i="9"/>
  <c r="E93" i="9"/>
  <c r="F93" i="9"/>
  <c r="A94" i="9"/>
  <c r="B94" i="9"/>
  <c r="C94" i="9"/>
  <c r="D94" i="9"/>
  <c r="E94" i="9"/>
  <c r="F94" i="9"/>
  <c r="A95" i="9"/>
  <c r="B95" i="9"/>
  <c r="C95" i="9"/>
  <c r="D95" i="9"/>
  <c r="E95" i="9"/>
  <c r="F95" i="9"/>
  <c r="A96" i="9"/>
  <c r="B96" i="9"/>
  <c r="C96" i="9"/>
  <c r="D96" i="9"/>
  <c r="E96" i="9"/>
  <c r="F96" i="9"/>
  <c r="A97" i="9"/>
  <c r="B97" i="9"/>
  <c r="C97" i="9"/>
  <c r="D97" i="9"/>
  <c r="E97" i="9"/>
  <c r="F97" i="9"/>
  <c r="A98" i="9"/>
  <c r="B98" i="9"/>
  <c r="C98" i="9"/>
  <c r="D98" i="9"/>
  <c r="E98" i="9"/>
  <c r="F98" i="9"/>
  <c r="A99" i="9"/>
  <c r="B99" i="9"/>
  <c r="C99" i="9"/>
  <c r="D99" i="9"/>
  <c r="E99" i="9"/>
  <c r="F99" i="9"/>
  <c r="A100" i="9"/>
  <c r="B100" i="9"/>
  <c r="C100" i="9"/>
  <c r="D100" i="9"/>
  <c r="E100" i="9"/>
  <c r="F100" i="9"/>
  <c r="A101" i="9"/>
  <c r="B101" i="9"/>
  <c r="C101" i="9"/>
  <c r="D101" i="9"/>
  <c r="E101" i="9"/>
  <c r="F101" i="9"/>
  <c r="A102" i="9"/>
  <c r="B102" i="9"/>
  <c r="C102" i="9"/>
  <c r="D102" i="9"/>
  <c r="E102" i="9"/>
  <c r="F102" i="9"/>
  <c r="A103" i="9"/>
  <c r="B103" i="9"/>
  <c r="C103" i="9"/>
  <c r="D103" i="9"/>
  <c r="E103" i="9"/>
  <c r="F103" i="9"/>
  <c r="A104" i="9"/>
  <c r="B104" i="9"/>
  <c r="C104" i="9"/>
  <c r="D104" i="9"/>
  <c r="E104" i="9"/>
  <c r="F104" i="9"/>
  <c r="A105" i="9"/>
  <c r="B105" i="9"/>
  <c r="C105" i="9"/>
  <c r="D105" i="9"/>
  <c r="E105" i="9"/>
  <c r="F105" i="9"/>
  <c r="A106" i="9"/>
  <c r="B106" i="9"/>
  <c r="C106" i="9"/>
  <c r="D106" i="9"/>
  <c r="E106" i="9"/>
  <c r="F106" i="9"/>
  <c r="A107" i="9"/>
  <c r="B107" i="9"/>
  <c r="C107" i="9"/>
  <c r="D107" i="9"/>
  <c r="E107" i="9"/>
  <c r="F107" i="9"/>
  <c r="A108" i="9"/>
  <c r="B108" i="9"/>
  <c r="C108" i="9"/>
  <c r="D108" i="9"/>
  <c r="E108" i="9"/>
  <c r="F108" i="9"/>
  <c r="A109" i="9"/>
  <c r="B109" i="9"/>
  <c r="C109" i="9"/>
  <c r="D109" i="9"/>
  <c r="E109" i="9"/>
  <c r="F109" i="9"/>
  <c r="A110" i="9"/>
  <c r="B110" i="9"/>
  <c r="C110" i="9"/>
  <c r="D110" i="9"/>
  <c r="E110" i="9"/>
  <c r="F110" i="9"/>
  <c r="A111" i="9"/>
  <c r="B111" i="9"/>
  <c r="C111" i="9"/>
  <c r="D111" i="9"/>
  <c r="E111" i="9"/>
  <c r="F111" i="9"/>
  <c r="A112" i="9"/>
  <c r="B112" i="9"/>
  <c r="C112" i="9"/>
  <c r="D112" i="9"/>
  <c r="E112" i="9"/>
  <c r="F112" i="9"/>
  <c r="A113" i="9"/>
  <c r="B113" i="9"/>
  <c r="C113" i="9"/>
  <c r="D113" i="9"/>
  <c r="E113" i="9"/>
  <c r="F113" i="9"/>
  <c r="A114" i="9"/>
  <c r="B114" i="9"/>
  <c r="C114" i="9"/>
  <c r="D114" i="9"/>
  <c r="E114" i="9"/>
  <c r="F114" i="9"/>
  <c r="A115" i="9"/>
  <c r="B115" i="9"/>
  <c r="C115" i="9"/>
  <c r="D115" i="9"/>
  <c r="E115" i="9"/>
  <c r="F115" i="9"/>
  <c r="A116" i="9"/>
  <c r="B116" i="9"/>
  <c r="C116" i="9"/>
  <c r="D116" i="9"/>
  <c r="E116" i="9"/>
  <c r="F116" i="9"/>
  <c r="A117" i="9"/>
  <c r="B117" i="9"/>
  <c r="C117" i="9"/>
  <c r="D117" i="9"/>
  <c r="E117" i="9"/>
  <c r="F117" i="9"/>
  <c r="A118" i="9"/>
  <c r="B118" i="9"/>
  <c r="C118" i="9"/>
  <c r="D118" i="9"/>
  <c r="E118" i="9"/>
  <c r="F118" i="9"/>
  <c r="A119" i="9"/>
  <c r="B119" i="9"/>
  <c r="C119" i="9"/>
  <c r="D119" i="9"/>
  <c r="E119" i="9"/>
  <c r="F119" i="9"/>
  <c r="A120" i="9"/>
  <c r="B120" i="9"/>
  <c r="C120" i="9"/>
  <c r="D120" i="9"/>
  <c r="E120" i="9"/>
  <c r="F120" i="9"/>
  <c r="A121" i="9"/>
  <c r="B121" i="9"/>
  <c r="C121" i="9"/>
  <c r="D121" i="9"/>
  <c r="E121" i="9"/>
  <c r="F121" i="9"/>
  <c r="A122" i="9"/>
  <c r="B122" i="9"/>
  <c r="C122" i="9"/>
  <c r="D122" i="9"/>
  <c r="E122" i="9"/>
  <c r="F122" i="9"/>
  <c r="A123" i="9"/>
  <c r="B123" i="9"/>
  <c r="C123" i="9"/>
  <c r="D123" i="9"/>
  <c r="E123" i="9"/>
  <c r="F123" i="9"/>
  <c r="A124" i="9"/>
  <c r="B124" i="9"/>
  <c r="C124" i="9"/>
  <c r="D124" i="9"/>
  <c r="E124" i="9"/>
  <c r="F124" i="9"/>
  <c r="A125" i="9"/>
  <c r="B125" i="9"/>
  <c r="C125" i="9"/>
  <c r="D125" i="9"/>
  <c r="E125" i="9"/>
  <c r="F125" i="9"/>
  <c r="A126" i="9"/>
  <c r="B126" i="9"/>
  <c r="C126" i="9"/>
  <c r="D126" i="9"/>
  <c r="E126" i="9"/>
  <c r="F126" i="9"/>
  <c r="A127" i="9"/>
  <c r="B127" i="9"/>
  <c r="C127" i="9"/>
  <c r="D127" i="9"/>
  <c r="E127" i="9"/>
  <c r="F127" i="9"/>
  <c r="A128" i="9"/>
  <c r="B128" i="9"/>
  <c r="C128" i="9"/>
  <c r="D128" i="9"/>
  <c r="E128" i="9"/>
  <c r="F128" i="9"/>
  <c r="A129" i="9"/>
  <c r="B129" i="9"/>
  <c r="C129" i="9"/>
  <c r="D129" i="9"/>
  <c r="E129" i="9"/>
  <c r="F129" i="9"/>
  <c r="A130" i="9"/>
  <c r="B130" i="9"/>
  <c r="C130" i="9"/>
  <c r="D130" i="9"/>
  <c r="E130" i="9"/>
  <c r="F130" i="9"/>
  <c r="A131" i="9"/>
  <c r="B131" i="9"/>
  <c r="C131" i="9"/>
  <c r="D131" i="9"/>
  <c r="E131" i="9"/>
  <c r="F131" i="9"/>
  <c r="A132" i="9"/>
  <c r="B132" i="9"/>
  <c r="C132" i="9"/>
  <c r="D132" i="9"/>
  <c r="E132" i="9"/>
  <c r="F132" i="9"/>
  <c r="A133" i="9"/>
  <c r="B133" i="9"/>
  <c r="C133" i="9"/>
  <c r="D133" i="9"/>
  <c r="E133" i="9"/>
  <c r="F133" i="9"/>
  <c r="A134" i="9"/>
  <c r="B134" i="9"/>
  <c r="C134" i="9"/>
  <c r="D134" i="9"/>
  <c r="E134" i="9"/>
  <c r="F134" i="9"/>
  <c r="A135" i="9"/>
  <c r="B135" i="9"/>
  <c r="C135" i="9"/>
  <c r="D135" i="9"/>
  <c r="E135" i="9"/>
  <c r="F135" i="9"/>
  <c r="A136" i="9"/>
  <c r="B136" i="9"/>
  <c r="C136" i="9"/>
  <c r="D136" i="9"/>
  <c r="E136" i="9"/>
  <c r="F136" i="9"/>
  <c r="A137" i="9"/>
  <c r="B137" i="9"/>
  <c r="C137" i="9"/>
  <c r="D137" i="9"/>
  <c r="E137" i="9"/>
  <c r="F137" i="9"/>
  <c r="A138" i="9"/>
  <c r="B138" i="9"/>
  <c r="C138" i="9"/>
  <c r="D138" i="9"/>
  <c r="E138" i="9"/>
  <c r="F138" i="9"/>
  <c r="A139" i="9"/>
  <c r="B139" i="9"/>
  <c r="C139" i="9"/>
  <c r="D139" i="9"/>
  <c r="E139" i="9"/>
  <c r="F139" i="9"/>
  <c r="A140" i="9"/>
  <c r="B140" i="9"/>
  <c r="C140" i="9"/>
  <c r="D140" i="9"/>
  <c r="E140" i="9"/>
  <c r="F140" i="9"/>
  <c r="A141" i="9"/>
  <c r="B141" i="9"/>
  <c r="C141" i="9"/>
  <c r="D141" i="9"/>
  <c r="E141" i="9"/>
  <c r="F141" i="9"/>
  <c r="A142" i="9"/>
  <c r="B142" i="9"/>
  <c r="C142" i="9"/>
  <c r="D142" i="9"/>
  <c r="E142" i="9"/>
  <c r="F142" i="9"/>
  <c r="A143" i="9"/>
  <c r="B143" i="9"/>
  <c r="C143" i="9"/>
  <c r="D143" i="9"/>
  <c r="E143" i="9"/>
  <c r="F143" i="9"/>
  <c r="A144" i="9"/>
  <c r="B144" i="9"/>
  <c r="C144" i="9"/>
  <c r="D144" i="9"/>
  <c r="E144" i="9"/>
  <c r="F144" i="9"/>
  <c r="A145" i="9"/>
  <c r="B145" i="9"/>
  <c r="C145" i="9"/>
  <c r="D145" i="9"/>
  <c r="E145" i="9"/>
  <c r="F145" i="9"/>
  <c r="A146" i="9"/>
  <c r="B146" i="9"/>
  <c r="C146" i="9"/>
  <c r="D146" i="9"/>
  <c r="E146" i="9"/>
  <c r="F146" i="9"/>
  <c r="A147" i="9"/>
  <c r="B147" i="9"/>
  <c r="C147" i="9"/>
  <c r="D147" i="9"/>
  <c r="E147" i="9"/>
  <c r="F147" i="9"/>
  <c r="A148" i="9"/>
  <c r="B148" i="9"/>
  <c r="C148" i="9"/>
  <c r="D148" i="9"/>
  <c r="E148" i="9"/>
  <c r="F148" i="9"/>
  <c r="A149" i="9"/>
  <c r="B149" i="9"/>
  <c r="C149" i="9"/>
  <c r="D149" i="9"/>
  <c r="E149" i="9"/>
  <c r="F149" i="9"/>
  <c r="A150" i="9"/>
  <c r="B150" i="9"/>
  <c r="C150" i="9"/>
  <c r="D150" i="9"/>
  <c r="E150" i="9"/>
  <c r="F150" i="9"/>
  <c r="A151" i="9"/>
  <c r="B151" i="9"/>
  <c r="C151" i="9"/>
  <c r="D151" i="9"/>
  <c r="E151" i="9"/>
  <c r="F151" i="9"/>
  <c r="A152" i="9"/>
  <c r="B152" i="9"/>
  <c r="C152" i="9"/>
  <c r="D152" i="9"/>
  <c r="E152" i="9"/>
  <c r="F152" i="9"/>
  <c r="A153" i="9"/>
  <c r="B153" i="9"/>
  <c r="C153" i="9"/>
  <c r="D153" i="9"/>
  <c r="E153" i="9"/>
  <c r="F153" i="9"/>
  <c r="A154" i="9"/>
  <c r="B154" i="9"/>
  <c r="C154" i="9"/>
  <c r="D154" i="9"/>
  <c r="E154" i="9"/>
  <c r="F154" i="9"/>
  <c r="A155" i="9"/>
  <c r="B155" i="9"/>
  <c r="C155" i="9"/>
  <c r="D155" i="9"/>
  <c r="E155" i="9"/>
  <c r="F155" i="9"/>
  <c r="A156" i="9"/>
  <c r="B156" i="9"/>
  <c r="C156" i="9"/>
  <c r="D156" i="9"/>
  <c r="E156" i="9"/>
  <c r="F156" i="9"/>
  <c r="A157" i="9"/>
  <c r="B157" i="9"/>
  <c r="C157" i="9"/>
  <c r="D157" i="9"/>
  <c r="E157" i="9"/>
  <c r="F157" i="9"/>
  <c r="A158" i="9"/>
  <c r="B158" i="9"/>
  <c r="C158" i="9"/>
  <c r="D158" i="9"/>
  <c r="E158" i="9"/>
  <c r="F158" i="9"/>
  <c r="A159" i="9"/>
  <c r="B159" i="9"/>
  <c r="C159" i="9"/>
  <c r="D159" i="9"/>
  <c r="E159" i="9"/>
  <c r="F159" i="9"/>
  <c r="A160" i="9"/>
  <c r="B160" i="9"/>
  <c r="C160" i="9"/>
  <c r="D160" i="9"/>
  <c r="E160" i="9"/>
  <c r="F160" i="9"/>
  <c r="A161" i="9"/>
  <c r="B161" i="9"/>
  <c r="C161" i="9"/>
  <c r="D161" i="9"/>
  <c r="E161" i="9"/>
  <c r="F161" i="9"/>
  <c r="A162" i="9"/>
  <c r="B162" i="9"/>
  <c r="C162" i="9"/>
  <c r="D162" i="9"/>
  <c r="E162" i="9"/>
  <c r="F162" i="9"/>
  <c r="A163" i="9"/>
  <c r="B163" i="9"/>
  <c r="C163" i="9"/>
  <c r="D163" i="9"/>
  <c r="E163" i="9"/>
  <c r="F163" i="9"/>
  <c r="A164" i="9"/>
  <c r="B164" i="9"/>
  <c r="C164" i="9"/>
  <c r="D164" i="9"/>
  <c r="E164" i="9"/>
  <c r="F164" i="9"/>
  <c r="A165" i="9"/>
  <c r="B165" i="9"/>
  <c r="C165" i="9"/>
  <c r="D165" i="9"/>
  <c r="E165" i="9"/>
  <c r="F165" i="9"/>
  <c r="A166" i="9"/>
  <c r="B166" i="9"/>
  <c r="C166" i="9"/>
  <c r="D166" i="9"/>
  <c r="E166" i="9"/>
  <c r="F166" i="9"/>
  <c r="A167" i="9"/>
  <c r="B167" i="9"/>
  <c r="C167" i="9"/>
  <c r="D167" i="9"/>
  <c r="E167" i="9"/>
  <c r="F167" i="9"/>
  <c r="A168" i="9"/>
  <c r="B168" i="9"/>
  <c r="C168" i="9"/>
  <c r="D168" i="9"/>
  <c r="E168" i="9"/>
  <c r="F168" i="9"/>
  <c r="A169" i="9"/>
  <c r="B169" i="9"/>
  <c r="C169" i="9"/>
  <c r="D169" i="9"/>
  <c r="E169" i="9"/>
  <c r="F169" i="9"/>
  <c r="A170" i="9"/>
  <c r="B170" i="9"/>
  <c r="C170" i="9"/>
  <c r="D170" i="9"/>
  <c r="E170" i="9"/>
  <c r="F170" i="9"/>
  <c r="A171" i="9"/>
  <c r="B171" i="9"/>
  <c r="C171" i="9"/>
  <c r="D171" i="9"/>
  <c r="E171" i="9"/>
  <c r="F171" i="9"/>
  <c r="A172" i="9"/>
  <c r="B172" i="9"/>
  <c r="C172" i="9"/>
  <c r="D172" i="9"/>
  <c r="E172" i="9"/>
  <c r="F172" i="9"/>
  <c r="A173" i="9"/>
  <c r="B173" i="9"/>
  <c r="C173" i="9"/>
  <c r="D173" i="9"/>
  <c r="E173" i="9"/>
  <c r="F173" i="9"/>
  <c r="A174" i="9"/>
  <c r="B174" i="9"/>
  <c r="C174" i="9"/>
  <c r="D174" i="9"/>
  <c r="E174" i="9"/>
  <c r="F174" i="9"/>
  <c r="A175" i="9"/>
  <c r="B175" i="9"/>
  <c r="C175" i="9"/>
  <c r="D175" i="9"/>
  <c r="E175" i="9"/>
  <c r="F175" i="9"/>
  <c r="A176" i="9"/>
  <c r="B176" i="9"/>
  <c r="C176" i="9"/>
  <c r="D176" i="9"/>
  <c r="E176" i="9"/>
  <c r="F176" i="9"/>
  <c r="A177" i="9"/>
  <c r="B177" i="9"/>
  <c r="C177" i="9"/>
  <c r="D177" i="9"/>
  <c r="E177" i="9"/>
  <c r="F177" i="9"/>
  <c r="A178" i="9"/>
  <c r="B178" i="9"/>
  <c r="C178" i="9"/>
  <c r="D178" i="9"/>
  <c r="E178" i="9"/>
  <c r="F178" i="9"/>
  <c r="A179" i="9"/>
  <c r="B179" i="9"/>
  <c r="C179" i="9"/>
  <c r="D179" i="9"/>
  <c r="E179" i="9"/>
  <c r="F179" i="9"/>
  <c r="A180" i="9"/>
  <c r="B180" i="9"/>
  <c r="C180" i="9"/>
  <c r="D180" i="9"/>
  <c r="E180" i="9"/>
  <c r="F180" i="9"/>
  <c r="A181" i="9"/>
  <c r="B181" i="9"/>
  <c r="C181" i="9"/>
  <c r="D181" i="9"/>
  <c r="E181" i="9"/>
  <c r="F181" i="9"/>
  <c r="A182" i="9"/>
  <c r="B182" i="9"/>
  <c r="C182" i="9"/>
  <c r="D182" i="9"/>
  <c r="E182" i="9"/>
  <c r="F182" i="9"/>
  <c r="A183" i="9"/>
  <c r="B183" i="9"/>
  <c r="C183" i="9"/>
  <c r="D183" i="9"/>
  <c r="E183" i="9"/>
  <c r="F183" i="9"/>
  <c r="A184" i="9"/>
  <c r="B184" i="9"/>
  <c r="C184" i="9"/>
  <c r="D184" i="9"/>
  <c r="E184" i="9"/>
  <c r="F184" i="9"/>
  <c r="A185" i="9"/>
  <c r="B185" i="9"/>
  <c r="C185" i="9"/>
  <c r="D185" i="9"/>
  <c r="E185" i="9"/>
  <c r="F185" i="9"/>
  <c r="A186" i="9"/>
  <c r="B186" i="9"/>
  <c r="C186" i="9"/>
  <c r="D186" i="9"/>
  <c r="E186" i="9"/>
  <c r="F186" i="9"/>
  <c r="A187" i="9"/>
  <c r="B187" i="9"/>
  <c r="C187" i="9"/>
  <c r="D187" i="9"/>
  <c r="E187" i="9"/>
  <c r="F187" i="9"/>
  <c r="A188" i="9"/>
  <c r="B188" i="9"/>
  <c r="C188" i="9"/>
  <c r="D188" i="9"/>
  <c r="E188" i="9"/>
  <c r="F188" i="9"/>
  <c r="A189" i="9"/>
  <c r="B189" i="9"/>
  <c r="C189" i="9"/>
  <c r="D189" i="9"/>
  <c r="E189" i="9"/>
  <c r="F189" i="9"/>
  <c r="A190" i="9"/>
  <c r="B190" i="9"/>
  <c r="C190" i="9"/>
  <c r="D190" i="9"/>
  <c r="E190" i="9"/>
  <c r="F190" i="9"/>
  <c r="A191" i="9"/>
  <c r="B191" i="9"/>
  <c r="C191" i="9"/>
  <c r="D191" i="9"/>
  <c r="E191" i="9"/>
  <c r="F191" i="9"/>
  <c r="A192" i="9"/>
  <c r="B192" i="9"/>
  <c r="C192" i="9"/>
  <c r="D192" i="9"/>
  <c r="E192" i="9"/>
  <c r="F192" i="9"/>
  <c r="A193" i="9"/>
  <c r="B193" i="9"/>
  <c r="C193" i="9"/>
  <c r="D193" i="9"/>
  <c r="E193" i="9"/>
  <c r="F193" i="9"/>
  <c r="A194" i="9"/>
  <c r="B194" i="9"/>
  <c r="C194" i="9"/>
  <c r="D194" i="9"/>
  <c r="E194" i="9"/>
  <c r="F194" i="9"/>
  <c r="A195" i="9"/>
  <c r="B195" i="9"/>
  <c r="C195" i="9"/>
  <c r="D195" i="9"/>
  <c r="E195" i="9"/>
  <c r="F195" i="9"/>
  <c r="A196" i="9"/>
  <c r="B196" i="9"/>
  <c r="C196" i="9"/>
  <c r="D196" i="9"/>
  <c r="E196" i="9"/>
  <c r="F196" i="9"/>
  <c r="A197" i="9"/>
  <c r="B197" i="9"/>
  <c r="C197" i="9"/>
  <c r="D197" i="9"/>
  <c r="E197" i="9"/>
  <c r="F197" i="9"/>
  <c r="A198" i="9"/>
  <c r="B198" i="9"/>
  <c r="C198" i="9"/>
  <c r="D198" i="9"/>
  <c r="E198" i="9"/>
  <c r="F198" i="9"/>
  <c r="A199" i="9"/>
  <c r="B199" i="9"/>
  <c r="C199" i="9"/>
  <c r="D199" i="9"/>
  <c r="E199" i="9"/>
  <c r="F199" i="9"/>
  <c r="A200" i="9"/>
  <c r="B200" i="9"/>
  <c r="C200" i="9"/>
  <c r="D200" i="9"/>
  <c r="E200" i="9"/>
  <c r="F200" i="9"/>
  <c r="A201" i="9"/>
  <c r="B201" i="9"/>
  <c r="C201" i="9"/>
  <c r="D201" i="9"/>
  <c r="E201" i="9"/>
  <c r="F201" i="9"/>
  <c r="A202" i="9"/>
  <c r="B202" i="9"/>
  <c r="C202" i="9"/>
  <c r="D202" i="9"/>
  <c r="E202" i="9"/>
  <c r="F202" i="9"/>
  <c r="A203" i="9"/>
  <c r="B203" i="9"/>
  <c r="C203" i="9"/>
  <c r="D203" i="9"/>
  <c r="E203" i="9"/>
  <c r="F203" i="9"/>
  <c r="A204" i="9"/>
  <c r="B204" i="9"/>
  <c r="C204" i="9"/>
  <c r="D204" i="9"/>
  <c r="E204" i="9"/>
  <c r="F204" i="9"/>
  <c r="A205" i="9"/>
  <c r="B205" i="9"/>
  <c r="C205" i="9"/>
  <c r="D205" i="9"/>
  <c r="E205" i="9"/>
  <c r="F205" i="9"/>
  <c r="A206" i="9"/>
  <c r="B206" i="9"/>
  <c r="C206" i="9"/>
  <c r="D206" i="9"/>
  <c r="E206" i="9"/>
  <c r="F206" i="9"/>
  <c r="A207" i="9"/>
  <c r="B207" i="9"/>
  <c r="C207" i="9"/>
  <c r="D207" i="9"/>
  <c r="E207" i="9"/>
  <c r="F207" i="9"/>
  <c r="A208" i="9"/>
  <c r="B208" i="9"/>
  <c r="C208" i="9"/>
  <c r="D208" i="9"/>
  <c r="E208" i="9"/>
  <c r="F208" i="9"/>
  <c r="A209" i="9"/>
  <c r="B209" i="9"/>
  <c r="C209" i="9"/>
  <c r="D209" i="9"/>
  <c r="E209" i="9"/>
  <c r="F209" i="9"/>
  <c r="A210" i="9"/>
  <c r="B210" i="9"/>
  <c r="C210" i="9"/>
  <c r="D210" i="9"/>
  <c r="E210" i="9"/>
  <c r="F210" i="9"/>
  <c r="A211" i="9"/>
  <c r="B211" i="9"/>
  <c r="C211" i="9"/>
  <c r="D211" i="9"/>
  <c r="E211" i="9"/>
  <c r="F211" i="9"/>
  <c r="A212" i="9"/>
  <c r="B212" i="9"/>
  <c r="C212" i="9"/>
  <c r="D212" i="9"/>
  <c r="E212" i="9"/>
  <c r="F212" i="9"/>
  <c r="A213" i="9"/>
  <c r="B213" i="9"/>
  <c r="C213" i="9"/>
  <c r="D213" i="9"/>
  <c r="E213" i="9"/>
  <c r="F213" i="9"/>
  <c r="A214" i="9"/>
  <c r="B214" i="9"/>
  <c r="C214" i="9"/>
  <c r="D214" i="9"/>
  <c r="E214" i="9"/>
  <c r="F214" i="9"/>
  <c r="A215" i="9"/>
  <c r="B215" i="9"/>
  <c r="C215" i="9"/>
  <c r="D215" i="9"/>
  <c r="E215" i="9"/>
  <c r="F215" i="9"/>
  <c r="A216" i="9"/>
  <c r="B216" i="9"/>
  <c r="C216" i="9"/>
  <c r="D216" i="9"/>
  <c r="E216" i="9"/>
  <c r="F216" i="9"/>
  <c r="A217" i="9"/>
  <c r="B217" i="9"/>
  <c r="C217" i="9"/>
  <c r="D217" i="9"/>
  <c r="E217" i="9"/>
  <c r="F217" i="9"/>
  <c r="A218" i="9"/>
  <c r="B218" i="9"/>
  <c r="C218" i="9"/>
  <c r="D218" i="9"/>
  <c r="E218" i="9"/>
  <c r="F218" i="9"/>
  <c r="A219" i="9"/>
  <c r="B219" i="9"/>
  <c r="C219" i="9"/>
  <c r="D219" i="9"/>
  <c r="E219" i="9"/>
  <c r="F219" i="9"/>
  <c r="A220" i="9"/>
  <c r="B220" i="9"/>
  <c r="C220" i="9"/>
  <c r="D220" i="9"/>
  <c r="E220" i="9"/>
  <c r="F220" i="9"/>
  <c r="A221" i="9"/>
  <c r="B221" i="9"/>
  <c r="C221" i="9"/>
  <c r="D221" i="9"/>
  <c r="E221" i="9"/>
  <c r="F221" i="9"/>
  <c r="A222" i="9"/>
  <c r="B222" i="9"/>
  <c r="C222" i="9"/>
  <c r="D222" i="9"/>
  <c r="E222" i="9"/>
  <c r="F222" i="9"/>
  <c r="A223" i="9"/>
  <c r="B223" i="9"/>
  <c r="C223" i="9"/>
  <c r="D223" i="9"/>
  <c r="E223" i="9"/>
  <c r="F223" i="9"/>
  <c r="A224" i="9"/>
  <c r="B224" i="9"/>
  <c r="C224" i="9"/>
  <c r="D224" i="9"/>
  <c r="E224" i="9"/>
  <c r="F224" i="9"/>
  <c r="A225" i="9"/>
  <c r="B225" i="9"/>
  <c r="C225" i="9"/>
  <c r="D225" i="9"/>
  <c r="E225" i="9"/>
  <c r="F225" i="9"/>
  <c r="A226" i="9"/>
  <c r="B226" i="9"/>
  <c r="C226" i="9"/>
  <c r="D226" i="9"/>
  <c r="E226" i="9"/>
  <c r="F226" i="9"/>
  <c r="A227" i="9"/>
  <c r="B227" i="9"/>
  <c r="C227" i="9"/>
  <c r="D227" i="9"/>
  <c r="E227" i="9"/>
  <c r="F227" i="9"/>
  <c r="A228" i="9"/>
  <c r="B228" i="9"/>
  <c r="C228" i="9"/>
  <c r="D228" i="9"/>
  <c r="E228" i="9"/>
  <c r="F228" i="9"/>
  <c r="A229" i="9"/>
  <c r="B229" i="9"/>
  <c r="C229" i="9"/>
  <c r="D229" i="9"/>
  <c r="E229" i="9"/>
  <c r="F229" i="9"/>
  <c r="A230" i="9"/>
  <c r="B230" i="9"/>
  <c r="C230" i="9"/>
  <c r="D230" i="9"/>
  <c r="E230" i="9"/>
  <c r="F230" i="9"/>
  <c r="A231" i="9"/>
  <c r="B231" i="9"/>
  <c r="C231" i="9"/>
  <c r="D231" i="9"/>
  <c r="E231" i="9"/>
  <c r="F231" i="9"/>
  <c r="A232" i="9"/>
  <c r="B232" i="9"/>
  <c r="C232" i="9"/>
  <c r="D232" i="9"/>
  <c r="E232" i="9"/>
  <c r="F232" i="9"/>
  <c r="A233" i="9"/>
  <c r="B233" i="9"/>
  <c r="C233" i="9"/>
  <c r="D233" i="9"/>
  <c r="E233" i="9"/>
  <c r="F233" i="9"/>
  <c r="A234" i="9"/>
  <c r="B234" i="9"/>
  <c r="C234" i="9"/>
  <c r="D234" i="9"/>
  <c r="E234" i="9"/>
  <c r="F234" i="9"/>
  <c r="A235" i="9"/>
  <c r="B235" i="9"/>
  <c r="C235" i="9"/>
  <c r="D235" i="9"/>
  <c r="E235" i="9"/>
  <c r="F235" i="9"/>
  <c r="A236" i="9"/>
  <c r="B236" i="9"/>
  <c r="C236" i="9"/>
  <c r="D236" i="9"/>
  <c r="E236" i="9"/>
  <c r="F236" i="9"/>
  <c r="A237" i="9"/>
  <c r="B237" i="9"/>
  <c r="C237" i="9"/>
  <c r="D237" i="9"/>
  <c r="E237" i="9"/>
  <c r="F237" i="9"/>
  <c r="A238" i="9"/>
  <c r="B238" i="9"/>
  <c r="C238" i="9"/>
  <c r="D238" i="9"/>
  <c r="E238" i="9"/>
  <c r="F238" i="9"/>
  <c r="A239" i="9"/>
  <c r="B239" i="9"/>
  <c r="C239" i="9"/>
  <c r="D239" i="9"/>
  <c r="E239" i="9"/>
  <c r="F239" i="9"/>
  <c r="A240" i="9"/>
  <c r="B240" i="9"/>
  <c r="C240" i="9"/>
  <c r="D240" i="9"/>
  <c r="E240" i="9"/>
  <c r="F240" i="9"/>
  <c r="A241" i="9"/>
  <c r="B241" i="9"/>
  <c r="C241" i="9"/>
  <c r="D241" i="9"/>
  <c r="E241" i="9"/>
  <c r="F241" i="9"/>
  <c r="A242" i="9"/>
  <c r="B242" i="9"/>
  <c r="C242" i="9"/>
  <c r="D242" i="9"/>
  <c r="E242" i="9"/>
  <c r="F242" i="9"/>
  <c r="A243" i="9"/>
  <c r="B243" i="9"/>
  <c r="C243" i="9"/>
  <c r="D243" i="9"/>
  <c r="E243" i="9"/>
  <c r="F243" i="9"/>
  <c r="A244" i="9"/>
  <c r="B244" i="9"/>
  <c r="C244" i="9"/>
  <c r="D244" i="9"/>
  <c r="E244" i="9"/>
  <c r="F244" i="9"/>
  <c r="A245" i="9"/>
  <c r="B245" i="9"/>
  <c r="C245" i="9"/>
  <c r="D245" i="9"/>
  <c r="E245" i="9"/>
  <c r="F245" i="9"/>
  <c r="A246" i="9"/>
  <c r="B246" i="9"/>
  <c r="C246" i="9"/>
  <c r="D246" i="9"/>
  <c r="E246" i="9"/>
  <c r="F246" i="9"/>
  <c r="A247" i="9"/>
  <c r="B247" i="9"/>
  <c r="C247" i="9"/>
  <c r="D247" i="9"/>
  <c r="E247" i="9"/>
  <c r="F247" i="9"/>
  <c r="A248" i="9"/>
  <c r="B248" i="9"/>
  <c r="C248" i="9"/>
  <c r="D248" i="9"/>
  <c r="E248" i="9"/>
  <c r="F248" i="9"/>
  <c r="A249" i="9"/>
  <c r="B249" i="9"/>
  <c r="C249" i="9"/>
  <c r="D249" i="9"/>
  <c r="E249" i="9"/>
  <c r="F249" i="9"/>
  <c r="A250" i="9"/>
  <c r="B250" i="9"/>
  <c r="C250" i="9"/>
  <c r="D250" i="9"/>
  <c r="E250" i="9"/>
  <c r="F250" i="9"/>
  <c r="A251" i="9"/>
  <c r="B251" i="9"/>
  <c r="C251" i="9"/>
  <c r="D251" i="9"/>
  <c r="E251" i="9"/>
  <c r="F251" i="9"/>
  <c r="A252" i="9"/>
  <c r="B252" i="9"/>
  <c r="C252" i="9"/>
  <c r="D252" i="9"/>
  <c r="E252" i="9"/>
  <c r="F252" i="9"/>
  <c r="A253" i="9"/>
  <c r="B253" i="9"/>
  <c r="C253" i="9"/>
  <c r="D253" i="9"/>
  <c r="E253" i="9"/>
  <c r="F253" i="9"/>
  <c r="A254" i="9"/>
  <c r="B254" i="9"/>
  <c r="C254" i="9"/>
  <c r="D254" i="9"/>
  <c r="E254" i="9"/>
  <c r="F254" i="9"/>
  <c r="A255" i="9"/>
  <c r="B255" i="9"/>
  <c r="C255" i="9"/>
  <c r="D255" i="9"/>
  <c r="E255" i="9"/>
  <c r="F255" i="9"/>
  <c r="A256" i="9"/>
  <c r="B256" i="9"/>
  <c r="C256" i="9"/>
  <c r="D256" i="9"/>
  <c r="E256" i="9"/>
  <c r="F256" i="9"/>
  <c r="A257" i="9"/>
  <c r="B257" i="9"/>
  <c r="C257" i="9"/>
  <c r="D257" i="9"/>
  <c r="E257" i="9"/>
  <c r="F257" i="9"/>
  <c r="A258" i="9"/>
  <c r="B258" i="9"/>
  <c r="C258" i="9"/>
  <c r="D258" i="9"/>
  <c r="E258" i="9"/>
  <c r="F258" i="9"/>
  <c r="A259" i="9"/>
  <c r="B259" i="9"/>
  <c r="C259" i="9"/>
  <c r="D259" i="9"/>
  <c r="E259" i="9"/>
  <c r="F259" i="9"/>
  <c r="A260" i="9"/>
  <c r="B260" i="9"/>
  <c r="C260" i="9"/>
  <c r="D260" i="9"/>
  <c r="E260" i="9"/>
  <c r="F260" i="9"/>
  <c r="A261" i="9"/>
  <c r="B261" i="9"/>
  <c r="C261" i="9"/>
  <c r="D261" i="9"/>
  <c r="E261" i="9"/>
  <c r="F261" i="9"/>
  <c r="A262" i="9"/>
  <c r="B262" i="9"/>
  <c r="C262" i="9"/>
  <c r="D262" i="9"/>
  <c r="E262" i="9"/>
  <c r="F262" i="9"/>
  <c r="A263" i="9"/>
  <c r="B263" i="9"/>
  <c r="C263" i="9"/>
  <c r="D263" i="9"/>
  <c r="E263" i="9"/>
  <c r="F263" i="9"/>
  <c r="A264" i="9"/>
  <c r="B264" i="9"/>
  <c r="C264" i="9"/>
  <c r="D264" i="9"/>
  <c r="E264" i="9"/>
  <c r="F264" i="9"/>
  <c r="A265" i="9"/>
  <c r="B265" i="9"/>
  <c r="C265" i="9"/>
  <c r="D265" i="9"/>
  <c r="E265" i="9"/>
  <c r="F265" i="9"/>
  <c r="A266" i="9"/>
  <c r="B266" i="9"/>
  <c r="C266" i="9"/>
  <c r="D266" i="9"/>
  <c r="E266" i="9"/>
  <c r="F266" i="9"/>
  <c r="A267" i="9"/>
  <c r="B267" i="9"/>
  <c r="C267" i="9"/>
  <c r="D267" i="9"/>
  <c r="E267" i="9"/>
  <c r="F267" i="9"/>
  <c r="A268" i="9"/>
  <c r="B268" i="9"/>
  <c r="C268" i="9"/>
  <c r="D268" i="9"/>
  <c r="E268" i="9"/>
  <c r="F268" i="9"/>
  <c r="A269" i="9"/>
  <c r="B269" i="9"/>
  <c r="C269" i="9"/>
  <c r="D269" i="9"/>
  <c r="E269" i="9"/>
  <c r="F269" i="9"/>
  <c r="A270" i="9"/>
  <c r="B270" i="9"/>
  <c r="C270" i="9"/>
  <c r="D270" i="9"/>
  <c r="E270" i="9"/>
  <c r="F270" i="9"/>
  <c r="A271" i="9"/>
  <c r="B271" i="9"/>
  <c r="C271" i="9"/>
  <c r="D271" i="9"/>
  <c r="E271" i="9"/>
  <c r="F271" i="9"/>
  <c r="A272" i="9"/>
  <c r="B272" i="9"/>
  <c r="C272" i="9"/>
  <c r="D272" i="9"/>
  <c r="E272" i="9"/>
  <c r="F272" i="9"/>
  <c r="A273" i="9"/>
  <c r="B273" i="9"/>
  <c r="C273" i="9"/>
  <c r="D273" i="9"/>
  <c r="E273" i="9"/>
  <c r="F273" i="9"/>
  <c r="A274" i="9"/>
  <c r="B274" i="9"/>
  <c r="C274" i="9"/>
  <c r="D274" i="9"/>
  <c r="E274" i="9"/>
  <c r="F274" i="9"/>
  <c r="A275" i="9"/>
  <c r="B275" i="9"/>
  <c r="C275" i="9"/>
  <c r="D275" i="9"/>
  <c r="E275" i="9"/>
  <c r="F275" i="9"/>
  <c r="A276" i="9"/>
  <c r="B276" i="9"/>
  <c r="C276" i="9"/>
  <c r="D276" i="9"/>
  <c r="E276" i="9"/>
  <c r="F276" i="9"/>
  <c r="A277" i="9"/>
  <c r="B277" i="9"/>
  <c r="C277" i="9"/>
  <c r="D277" i="9"/>
  <c r="E277" i="9"/>
  <c r="F277" i="9"/>
  <c r="A278" i="9"/>
  <c r="B278" i="9"/>
  <c r="C278" i="9"/>
  <c r="D278" i="9"/>
  <c r="E278" i="9"/>
  <c r="F278" i="9"/>
  <c r="A279" i="9"/>
  <c r="B279" i="9"/>
  <c r="C279" i="9"/>
  <c r="D279" i="9"/>
  <c r="E279" i="9"/>
  <c r="F279" i="9"/>
  <c r="A280" i="9"/>
  <c r="B280" i="9"/>
  <c r="C280" i="9"/>
  <c r="D280" i="9"/>
  <c r="E280" i="9"/>
  <c r="F280" i="9"/>
  <c r="A281" i="9"/>
  <c r="B281" i="9"/>
  <c r="C281" i="9"/>
  <c r="D281" i="9"/>
  <c r="E281" i="9"/>
  <c r="F281" i="9"/>
  <c r="A282" i="9"/>
  <c r="B282" i="9"/>
  <c r="C282" i="9"/>
  <c r="D282" i="9"/>
  <c r="E282" i="9"/>
  <c r="F282" i="9"/>
  <c r="A283" i="9"/>
  <c r="B283" i="9"/>
  <c r="C283" i="9"/>
  <c r="D283" i="9"/>
  <c r="E283" i="9"/>
  <c r="F283" i="9"/>
  <c r="A284" i="9"/>
  <c r="B284" i="9"/>
  <c r="C284" i="9"/>
  <c r="D284" i="9"/>
  <c r="E284" i="9"/>
  <c r="F284" i="9"/>
  <c r="A285" i="9"/>
  <c r="B285" i="9"/>
  <c r="C285" i="9"/>
  <c r="D285" i="9"/>
  <c r="E285" i="9"/>
  <c r="F285" i="9"/>
  <c r="A286" i="9"/>
  <c r="B286" i="9"/>
  <c r="C286" i="9"/>
  <c r="D286" i="9"/>
  <c r="E286" i="9"/>
  <c r="F286" i="9"/>
  <c r="A287" i="9"/>
  <c r="B287" i="9"/>
  <c r="C287" i="9"/>
  <c r="D287" i="9"/>
  <c r="E287" i="9"/>
  <c r="F287" i="9"/>
  <c r="A288" i="9"/>
  <c r="B288" i="9"/>
  <c r="C288" i="9"/>
  <c r="D288" i="9"/>
  <c r="E288" i="9"/>
  <c r="F288" i="9"/>
  <c r="A289" i="9"/>
  <c r="B289" i="9"/>
  <c r="C289" i="9"/>
  <c r="D289" i="9"/>
  <c r="E289" i="9"/>
  <c r="F289" i="9"/>
  <c r="A290" i="9"/>
  <c r="B290" i="9"/>
  <c r="C290" i="9"/>
  <c r="D290" i="9"/>
  <c r="E290" i="9"/>
  <c r="F290" i="9"/>
  <c r="A291" i="9"/>
  <c r="B291" i="9"/>
  <c r="C291" i="9"/>
  <c r="D291" i="9"/>
  <c r="E291" i="9"/>
  <c r="F291" i="9"/>
  <c r="A292" i="9"/>
  <c r="B292" i="9"/>
  <c r="C292" i="9"/>
  <c r="D292" i="9"/>
  <c r="E292" i="9"/>
  <c r="F292" i="9"/>
  <c r="A293" i="9"/>
  <c r="B293" i="9"/>
  <c r="C293" i="9"/>
  <c r="D293" i="9"/>
  <c r="E293" i="9"/>
  <c r="F293" i="9"/>
  <c r="A294" i="9"/>
  <c r="B294" i="9"/>
  <c r="C294" i="9"/>
  <c r="D294" i="9"/>
  <c r="E294" i="9"/>
  <c r="F294" i="9"/>
  <c r="A295" i="9"/>
  <c r="B295" i="9"/>
  <c r="C295" i="9"/>
  <c r="D295" i="9"/>
  <c r="E295" i="9"/>
  <c r="F295" i="9"/>
  <c r="A296" i="9"/>
  <c r="B296" i="9"/>
  <c r="C296" i="9"/>
  <c r="D296" i="9"/>
  <c r="E296" i="9"/>
  <c r="F296" i="9"/>
  <c r="A297" i="9"/>
  <c r="B297" i="9"/>
  <c r="C297" i="9"/>
  <c r="D297" i="9"/>
  <c r="E297" i="9"/>
  <c r="F297" i="9"/>
  <c r="A298" i="9"/>
  <c r="B298" i="9"/>
  <c r="C298" i="9"/>
  <c r="D298" i="9"/>
  <c r="E298" i="9"/>
  <c r="F298" i="9"/>
  <c r="A299" i="9"/>
  <c r="B299" i="9"/>
  <c r="C299" i="9"/>
  <c r="D299" i="9"/>
  <c r="E299" i="9"/>
  <c r="F299" i="9"/>
  <c r="A300" i="9"/>
  <c r="B300" i="9"/>
  <c r="C300" i="9"/>
  <c r="D300" i="9"/>
  <c r="E300" i="9"/>
  <c r="F300" i="9"/>
  <c r="A301" i="9"/>
  <c r="B301" i="9"/>
  <c r="C301" i="9"/>
  <c r="D301" i="9"/>
  <c r="E301" i="9"/>
  <c r="F301" i="9"/>
  <c r="A302" i="9"/>
  <c r="B302" i="9"/>
  <c r="C302" i="9"/>
  <c r="D302" i="9"/>
  <c r="E302" i="9"/>
  <c r="F302" i="9"/>
  <c r="A303" i="9"/>
  <c r="B303" i="9"/>
  <c r="C303" i="9"/>
  <c r="D303" i="9"/>
  <c r="E303" i="9"/>
  <c r="F303" i="9"/>
  <c r="A304" i="9"/>
  <c r="B304" i="9"/>
  <c r="C304" i="9"/>
  <c r="D304" i="9"/>
  <c r="E304" i="9"/>
  <c r="F304" i="9"/>
  <c r="A305" i="9"/>
  <c r="B305" i="9"/>
  <c r="C305" i="9"/>
  <c r="D305" i="9"/>
  <c r="E305" i="9"/>
  <c r="F305" i="9"/>
  <c r="A306" i="9"/>
  <c r="B306" i="9"/>
  <c r="C306" i="9"/>
  <c r="D306" i="9"/>
  <c r="E306" i="9"/>
  <c r="F306" i="9"/>
  <c r="A307" i="9"/>
  <c r="B307" i="9"/>
  <c r="C307" i="9"/>
  <c r="D307" i="9"/>
  <c r="E307" i="9"/>
  <c r="F307" i="9"/>
  <c r="A308" i="9"/>
  <c r="B308" i="9"/>
  <c r="C308" i="9"/>
  <c r="D308" i="9"/>
  <c r="E308" i="9"/>
  <c r="F308" i="9"/>
  <c r="A309" i="9"/>
  <c r="B309" i="9"/>
  <c r="C309" i="9"/>
  <c r="D309" i="9"/>
  <c r="E309" i="9"/>
  <c r="F309" i="9"/>
  <c r="A310" i="9"/>
  <c r="B310" i="9"/>
  <c r="C310" i="9"/>
  <c r="D310" i="9"/>
  <c r="E310" i="9"/>
  <c r="F310" i="9"/>
  <c r="A311" i="9"/>
  <c r="B311" i="9"/>
  <c r="C311" i="9"/>
  <c r="D311" i="9"/>
  <c r="E311" i="9"/>
  <c r="F311" i="9"/>
  <c r="A312" i="9"/>
  <c r="B312" i="9"/>
  <c r="C312" i="9"/>
  <c r="D312" i="9"/>
  <c r="E312" i="9"/>
  <c r="F312" i="9"/>
  <c r="A313" i="9"/>
  <c r="B313" i="9"/>
  <c r="C313" i="9"/>
  <c r="D313" i="9"/>
  <c r="E313" i="9"/>
  <c r="F313" i="9"/>
  <c r="A314" i="9"/>
  <c r="B314" i="9"/>
  <c r="C314" i="9"/>
  <c r="D314" i="9"/>
  <c r="E314" i="9"/>
  <c r="F314" i="9"/>
  <c r="A315" i="9"/>
  <c r="B315" i="9"/>
  <c r="C315" i="9"/>
  <c r="D315" i="9"/>
  <c r="E315" i="9"/>
  <c r="F315" i="9"/>
  <c r="A316" i="9"/>
  <c r="B316" i="9"/>
  <c r="C316" i="9"/>
  <c r="D316" i="9"/>
  <c r="E316" i="9"/>
  <c r="F316" i="9"/>
  <c r="A317" i="9"/>
  <c r="B317" i="9"/>
  <c r="C317" i="9"/>
  <c r="D317" i="9"/>
  <c r="E317" i="9"/>
  <c r="F317" i="9"/>
  <c r="A318" i="9"/>
  <c r="B318" i="9"/>
  <c r="C318" i="9"/>
  <c r="D318" i="9"/>
  <c r="E318" i="9"/>
  <c r="F318" i="9"/>
  <c r="A319" i="9"/>
  <c r="B319" i="9"/>
  <c r="C319" i="9"/>
  <c r="D319" i="9"/>
  <c r="E319" i="9"/>
  <c r="F319" i="9"/>
  <c r="A320" i="9"/>
  <c r="B320" i="9"/>
  <c r="C320" i="9"/>
  <c r="D320" i="9"/>
  <c r="E320" i="9"/>
  <c r="F320" i="9"/>
  <c r="A321" i="9"/>
  <c r="B321" i="9"/>
  <c r="C321" i="9"/>
  <c r="D321" i="9"/>
  <c r="E321" i="9"/>
  <c r="F321" i="9"/>
  <c r="A322" i="9"/>
  <c r="B322" i="9"/>
  <c r="C322" i="9"/>
  <c r="D322" i="9"/>
  <c r="E322" i="9"/>
  <c r="F322" i="9"/>
  <c r="A323" i="9"/>
  <c r="B323" i="9"/>
  <c r="C323" i="9"/>
  <c r="D323" i="9"/>
  <c r="E323" i="9"/>
  <c r="F323" i="9"/>
  <c r="A324" i="9"/>
  <c r="B324" i="9"/>
  <c r="C324" i="9"/>
  <c r="D324" i="9"/>
  <c r="E324" i="9"/>
  <c r="F324" i="9"/>
  <c r="A325" i="9"/>
  <c r="B325" i="9"/>
  <c r="C325" i="9"/>
  <c r="D325" i="9"/>
  <c r="E325" i="9"/>
  <c r="F325" i="9"/>
  <c r="A326" i="9"/>
  <c r="B326" i="9"/>
  <c r="C326" i="9"/>
  <c r="D326" i="9"/>
  <c r="E326" i="9"/>
  <c r="F326" i="9"/>
  <c r="A327" i="9"/>
  <c r="B327" i="9"/>
  <c r="C327" i="9"/>
  <c r="D327" i="9"/>
  <c r="E327" i="9"/>
  <c r="F327" i="9"/>
  <c r="A328" i="9"/>
  <c r="B328" i="9"/>
  <c r="C328" i="9"/>
  <c r="D328" i="9"/>
  <c r="E328" i="9"/>
  <c r="F328" i="9"/>
  <c r="A329" i="9"/>
  <c r="B329" i="9"/>
  <c r="C329" i="9"/>
  <c r="D329" i="9"/>
  <c r="E329" i="9"/>
  <c r="F329" i="9"/>
  <c r="A330" i="9"/>
  <c r="B330" i="9"/>
  <c r="C330" i="9"/>
  <c r="D330" i="9"/>
  <c r="E330" i="9"/>
  <c r="F330" i="9"/>
  <c r="A331" i="9"/>
  <c r="B331" i="9"/>
  <c r="C331" i="9"/>
  <c r="D331" i="9"/>
  <c r="E331" i="9"/>
  <c r="F331" i="9"/>
  <c r="A332" i="9"/>
  <c r="B332" i="9"/>
  <c r="C332" i="9"/>
  <c r="D332" i="9"/>
  <c r="E332" i="9"/>
  <c r="F332" i="9"/>
  <c r="A333" i="9"/>
  <c r="B333" i="9"/>
  <c r="C333" i="9"/>
  <c r="D333" i="9"/>
  <c r="E333" i="9"/>
  <c r="F333" i="9"/>
  <c r="A334" i="9"/>
  <c r="B334" i="9"/>
  <c r="C334" i="9"/>
  <c r="D334" i="9"/>
  <c r="E334" i="9"/>
  <c r="F334" i="9"/>
  <c r="A335" i="9"/>
  <c r="B335" i="9"/>
  <c r="C335" i="9"/>
  <c r="D335" i="9"/>
  <c r="E335" i="9"/>
  <c r="F335" i="9"/>
  <c r="A336" i="9"/>
  <c r="B336" i="9"/>
  <c r="C336" i="9"/>
  <c r="D336" i="9"/>
  <c r="E336" i="9"/>
  <c r="F336" i="9"/>
  <c r="A337" i="9"/>
  <c r="B337" i="9"/>
  <c r="C337" i="9"/>
  <c r="D337" i="9"/>
  <c r="E337" i="9"/>
  <c r="F337" i="9"/>
  <c r="A338" i="9"/>
  <c r="B338" i="9"/>
  <c r="C338" i="9"/>
  <c r="D338" i="9"/>
  <c r="E338" i="9"/>
  <c r="F338" i="9"/>
  <c r="A339" i="9"/>
  <c r="B339" i="9"/>
  <c r="C339" i="9"/>
  <c r="D339" i="9"/>
  <c r="E339" i="9"/>
  <c r="F339" i="9"/>
  <c r="A340" i="9"/>
  <c r="B340" i="9"/>
  <c r="C340" i="9"/>
  <c r="D340" i="9"/>
  <c r="E340" i="9"/>
  <c r="F340" i="9"/>
  <c r="A341" i="9"/>
  <c r="B341" i="9"/>
  <c r="C341" i="9"/>
  <c r="D341" i="9"/>
  <c r="E341" i="9"/>
  <c r="F341" i="9"/>
  <c r="A342" i="9"/>
  <c r="B342" i="9"/>
  <c r="C342" i="9"/>
  <c r="D342" i="9"/>
  <c r="E342" i="9"/>
  <c r="F342" i="9"/>
  <c r="A343" i="9"/>
  <c r="B343" i="9"/>
  <c r="C343" i="9"/>
  <c r="D343" i="9"/>
  <c r="E343" i="9"/>
  <c r="F343" i="9"/>
  <c r="A344" i="9"/>
  <c r="B344" i="9"/>
  <c r="C344" i="9"/>
  <c r="D344" i="9"/>
  <c r="E344" i="9"/>
  <c r="F344" i="9"/>
  <c r="A345" i="9"/>
  <c r="B345" i="9"/>
  <c r="C345" i="9"/>
  <c r="D345" i="9"/>
  <c r="E345" i="9"/>
  <c r="F345" i="9"/>
  <c r="A346" i="9"/>
  <c r="B346" i="9"/>
  <c r="C346" i="9"/>
  <c r="D346" i="9"/>
  <c r="E346" i="9"/>
  <c r="F346" i="9"/>
  <c r="A347" i="9"/>
  <c r="B347" i="9"/>
  <c r="C347" i="9"/>
  <c r="D347" i="9"/>
  <c r="E347" i="9"/>
  <c r="F347" i="9"/>
  <c r="A348" i="9"/>
  <c r="B348" i="9"/>
  <c r="C348" i="9"/>
  <c r="D348" i="9"/>
  <c r="E348" i="9"/>
  <c r="F348" i="9"/>
  <c r="A349" i="9"/>
  <c r="B349" i="9"/>
  <c r="C349" i="9"/>
  <c r="D349" i="9"/>
  <c r="E349" i="9"/>
  <c r="F349" i="9"/>
  <c r="A350" i="9"/>
  <c r="B350" i="9"/>
  <c r="C350" i="9"/>
  <c r="D350" i="9"/>
  <c r="E350" i="9"/>
  <c r="F350" i="9"/>
  <c r="A351" i="9"/>
  <c r="B351" i="9"/>
  <c r="C351" i="9"/>
  <c r="D351" i="9"/>
  <c r="E351" i="9"/>
  <c r="F351" i="9"/>
  <c r="A352" i="9"/>
  <c r="B352" i="9"/>
  <c r="C352" i="9"/>
  <c r="D352" i="9"/>
  <c r="E352" i="9"/>
  <c r="F352" i="9"/>
  <c r="A353" i="9"/>
  <c r="B353" i="9"/>
  <c r="C353" i="9"/>
  <c r="D353" i="9"/>
  <c r="E353" i="9"/>
  <c r="F353" i="9"/>
  <c r="A354" i="9"/>
  <c r="B354" i="9"/>
  <c r="C354" i="9"/>
  <c r="D354" i="9"/>
  <c r="E354" i="9"/>
  <c r="F354" i="9"/>
  <c r="A355" i="9"/>
  <c r="B355" i="9"/>
  <c r="C355" i="9"/>
  <c r="D355" i="9"/>
  <c r="E355" i="9"/>
  <c r="F355" i="9"/>
  <c r="A356" i="9"/>
  <c r="B356" i="9"/>
  <c r="C356" i="9"/>
  <c r="D356" i="9"/>
  <c r="E356" i="9"/>
  <c r="F356" i="9"/>
  <c r="A357" i="9"/>
  <c r="B357" i="9"/>
  <c r="C357" i="9"/>
  <c r="D357" i="9"/>
  <c r="E357" i="9"/>
  <c r="F357" i="9"/>
  <c r="A358" i="9"/>
  <c r="B358" i="9"/>
  <c r="C358" i="9"/>
  <c r="D358" i="9"/>
  <c r="E358" i="9"/>
  <c r="F358" i="9"/>
  <c r="A359" i="9"/>
  <c r="B359" i="9"/>
  <c r="C359" i="9"/>
  <c r="D359" i="9"/>
  <c r="E359" i="9"/>
  <c r="F359" i="9"/>
  <c r="A360" i="9"/>
  <c r="B360" i="9"/>
  <c r="C360" i="9"/>
  <c r="D360" i="9"/>
  <c r="E360" i="9"/>
  <c r="F360" i="9"/>
  <c r="A361" i="9"/>
  <c r="B361" i="9"/>
  <c r="C361" i="9"/>
  <c r="D361" i="9"/>
  <c r="E361" i="9"/>
  <c r="F361" i="9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C9" i="6"/>
  <c r="C15" i="2" l="1"/>
  <c r="C37" i="6"/>
  <c r="C34" i="6"/>
  <c r="C7" i="2"/>
  <c r="C97" i="2"/>
  <c r="C98" i="2" s="1"/>
  <c r="C102" i="2" s="1"/>
  <c r="C38" i="6" l="1"/>
  <c r="C19" i="2"/>
  <c r="C39" i="6" l="1"/>
  <c r="C20" i="2"/>
  <c r="C40" i="6" s="1"/>
</calcChain>
</file>

<file path=xl/sharedStrings.xml><?xml version="1.0" encoding="utf-8"?>
<sst xmlns="http://schemas.openxmlformats.org/spreadsheetml/2006/main" count="473" uniqueCount="338">
  <si>
    <t>Borrower Type</t>
  </si>
  <si>
    <t>Individual</t>
  </si>
  <si>
    <t>Rent</t>
  </si>
  <si>
    <t>Income Type</t>
  </si>
  <si>
    <t>Paystubs</t>
  </si>
  <si>
    <t>Credit</t>
  </si>
  <si>
    <t>Borrower</t>
  </si>
  <si>
    <t>Housing</t>
  </si>
  <si>
    <t>Income</t>
  </si>
  <si>
    <t>Docs</t>
  </si>
  <si>
    <t>Assets</t>
  </si>
  <si>
    <t>Credit Profile</t>
  </si>
  <si>
    <t>BorrowerType</t>
  </si>
  <si>
    <t>Yes</t>
  </si>
  <si>
    <t>Joint</t>
  </si>
  <si>
    <t>Self-Employed</t>
  </si>
  <si>
    <t>No</t>
  </si>
  <si>
    <t>Good</t>
  </si>
  <si>
    <t>Entity</t>
  </si>
  <si>
    <t>Financials Available?</t>
  </si>
  <si>
    <t>Paystub Flag</t>
  </si>
  <si>
    <t>Document Checklist</t>
  </si>
  <si>
    <t>Tax Returns</t>
  </si>
  <si>
    <t>Bank Statements</t>
  </si>
  <si>
    <t>Flags</t>
  </si>
  <si>
    <t>Current Income</t>
  </si>
  <si>
    <t>Current Housing</t>
  </si>
  <si>
    <t>Employed</t>
  </si>
  <si>
    <t>Other Incomes</t>
  </si>
  <si>
    <t>Alimony</t>
  </si>
  <si>
    <t>Automobile Allowance</t>
  </si>
  <si>
    <t>Boarder Income</t>
  </si>
  <si>
    <t>Capital Gains</t>
  </si>
  <si>
    <t>Child Support</t>
  </si>
  <si>
    <t>Disability</t>
  </si>
  <si>
    <t>Foster Care</t>
  </si>
  <si>
    <t>Housing or Parsonage</t>
  </si>
  <si>
    <t>Interest and Dividends</t>
  </si>
  <si>
    <t>Mortgage Credit Certificate</t>
  </si>
  <si>
    <t>Mortgage Differential Payments</t>
  </si>
  <si>
    <t>Notes Receiveable</t>
  </si>
  <si>
    <t>Public Assistance</t>
  </si>
  <si>
    <t>Retirement (Pension or IRA)</t>
  </si>
  <si>
    <t>Royalty Payments</t>
  </si>
  <si>
    <t>Social Security</t>
  </si>
  <si>
    <t>Trust</t>
  </si>
  <si>
    <t>Unemployment Benefits</t>
  </si>
  <si>
    <t>VA Compensation</t>
  </si>
  <si>
    <t>Other</t>
  </si>
  <si>
    <t>Bank Account</t>
  </si>
  <si>
    <t>Certificate of Deposit</t>
  </si>
  <si>
    <t>Stocks/ Options</t>
  </si>
  <si>
    <t>Mutual Fund</t>
  </si>
  <si>
    <t>Bonds</t>
  </si>
  <si>
    <t>Retirement (401k, IRA)</t>
  </si>
  <si>
    <t>Bridge Loan Proceeds</t>
  </si>
  <si>
    <t>Individual Development Account</t>
  </si>
  <si>
    <t>Trust Account</t>
  </si>
  <si>
    <t>Cash Value of Life Insurance</t>
  </si>
  <si>
    <t>Other Assets &amp; Credits</t>
  </si>
  <si>
    <t>Proceeds from Sale of Other Real Estate</t>
  </si>
  <si>
    <t>Proceeds from Sale of Non-Real Estate Asset</t>
  </si>
  <si>
    <t>Gift</t>
  </si>
  <si>
    <t>Rent Credit</t>
  </si>
  <si>
    <t>Lot Equity</t>
  </si>
  <si>
    <t>Employer Assistance</t>
  </si>
  <si>
    <t>Sweat / Trade Equity</t>
  </si>
  <si>
    <t>Relocation Funds</t>
  </si>
  <si>
    <t>Grant or Donation</t>
  </si>
  <si>
    <t>Separate Maintenance</t>
  </si>
  <si>
    <t>Exceptional</t>
  </si>
  <si>
    <t>Very Good</t>
  </si>
  <si>
    <t>Fair</t>
  </si>
  <si>
    <t>Poor</t>
  </si>
  <si>
    <t>Asset Statements</t>
  </si>
  <si>
    <t>REO Required</t>
  </si>
  <si>
    <t>Debts</t>
  </si>
  <si>
    <t>Purchase Price</t>
  </si>
  <si>
    <t>Period (Month)</t>
  </si>
  <si>
    <t>Current Value</t>
  </si>
  <si>
    <t>Beginning Balance</t>
  </si>
  <si>
    <t>Monthly Rent</t>
  </si>
  <si>
    <t>Monthly Payment</t>
  </si>
  <si>
    <t>Vacancy Rate %</t>
  </si>
  <si>
    <t>Interest</t>
  </si>
  <si>
    <t>Other Income (annual)</t>
  </si>
  <si>
    <t>Principal</t>
  </si>
  <si>
    <t>Taxes (annual)</t>
  </si>
  <si>
    <t>Ending Balance</t>
  </si>
  <si>
    <t>Insurance (annual)</t>
  </si>
  <si>
    <t>Maintenance (annual)</t>
  </si>
  <si>
    <t>Property Mgmt (annual)</t>
  </si>
  <si>
    <t>Other Expenses</t>
  </si>
  <si>
    <t>Loan Amount</t>
  </si>
  <si>
    <t>Gross Rent</t>
  </si>
  <si>
    <t>Interest Rate</t>
  </si>
  <si>
    <t>Vacancy Loss</t>
  </si>
  <si>
    <t>Term (years)</t>
  </si>
  <si>
    <t>Effective Income</t>
  </si>
  <si>
    <t>Hold Period (years)</t>
  </si>
  <si>
    <t>Exit Cap Rate</t>
  </si>
  <si>
    <t>Total Expenses</t>
  </si>
  <si>
    <t>Selling Costs %</t>
  </si>
  <si>
    <t>Appreciation %</t>
  </si>
  <si>
    <t>Net Operating Income</t>
  </si>
  <si>
    <t>Discount Rate</t>
  </si>
  <si>
    <t>Expenses Monthly</t>
  </si>
  <si>
    <t>Constant = Monthly Payment * 12 / Loan</t>
  </si>
  <si>
    <t>Formula:</t>
  </si>
  <si>
    <t>Mortgage Constant Chart</t>
  </si>
  <si>
    <t>Payment</t>
  </si>
  <si>
    <t>Month</t>
  </si>
  <si>
    <t>Gross Monthly Income</t>
  </si>
  <si>
    <t>Monthly Debt Payments</t>
  </si>
  <si>
    <t>Max Housing Payment (P&amp;I)</t>
  </si>
  <si>
    <t>Property</t>
  </si>
  <si>
    <t>Expenses</t>
  </si>
  <si>
    <t>Loan</t>
  </si>
  <si>
    <t>Rental Income</t>
  </si>
  <si>
    <t>Operating Expenses</t>
  </si>
  <si>
    <t>DSCR</t>
  </si>
  <si>
    <t>NOI/ Debt Service</t>
  </si>
  <si>
    <t>NOI=Rent-Expenses</t>
  </si>
  <si>
    <t>Debt Service=PMT(rate/12,term*12,loan_amount)*12</t>
  </si>
  <si>
    <t>Legal</t>
  </si>
  <si>
    <t>Ownership</t>
  </si>
  <si>
    <t>Active Bankruptcy?</t>
  </si>
  <si>
    <t>Recently Discharged Bankruptcy?</t>
  </si>
  <si>
    <t>U.S. Citizen</t>
  </si>
  <si>
    <t>Permanent Resident Alien</t>
  </si>
  <si>
    <t>Non-Permanent Resident Alien</t>
  </si>
  <si>
    <t>Foreign National</t>
  </si>
  <si>
    <t>Citizenship</t>
  </si>
  <si>
    <t>Govt ID Available</t>
  </si>
  <si>
    <t xml:space="preserve">No </t>
  </si>
  <si>
    <t>Unsure</t>
  </si>
  <si>
    <t>Active Bankruptcy</t>
  </si>
  <si>
    <t>Discharged Bankuptcy?</t>
  </si>
  <si>
    <t>&lt; 1 Year</t>
  </si>
  <si>
    <t>&gt; 2 Years</t>
  </si>
  <si>
    <t>3+ Years</t>
  </si>
  <si>
    <t>Filed / Terminated</t>
  </si>
  <si>
    <t>Community Property State</t>
  </si>
  <si>
    <t>Arizona</t>
  </si>
  <si>
    <t>California</t>
  </si>
  <si>
    <t>Idaho</t>
  </si>
  <si>
    <t>Louisiana</t>
  </si>
  <si>
    <t>Nevada</t>
  </si>
  <si>
    <t>New Mexico</t>
  </si>
  <si>
    <t>Texas</t>
  </si>
  <si>
    <t>Washington</t>
  </si>
  <si>
    <t>Wisconsin</t>
  </si>
  <si>
    <t>Another party owns &gt;25% Interest</t>
  </si>
  <si>
    <t>Marital Property</t>
  </si>
  <si>
    <t>&gt; 25% Ownership</t>
  </si>
  <si>
    <t>Eligibility Status</t>
  </si>
  <si>
    <t>Ready to Proceed</t>
  </si>
  <si>
    <t>Additional Review Needed</t>
  </si>
  <si>
    <t xml:space="preserve">Cannot Proceed at This Time </t>
  </si>
  <si>
    <t>Explore Exceptional Circumstances</t>
  </si>
  <si>
    <t>Category</t>
  </si>
  <si>
    <t>Question</t>
  </si>
  <si>
    <t>Estimated Max Monthly Payment?</t>
  </si>
  <si>
    <t>Max Loan Amount</t>
  </si>
  <si>
    <t>Eligibility</t>
  </si>
  <si>
    <t>Estimated Buying Power</t>
  </si>
  <si>
    <t>Estimated Loan Amount:</t>
  </si>
  <si>
    <t>Wisconsin / Nationwide Referrals</t>
  </si>
  <si>
    <t>Ngozie Omegbu, NMLS ID #2077106</t>
  </si>
  <si>
    <t>Estimated Income</t>
  </si>
  <si>
    <t>Monthly Debt(s)</t>
  </si>
  <si>
    <t>Desired Occupancy</t>
  </si>
  <si>
    <t>Help</t>
  </si>
  <si>
    <t>Co-Borrower (on Loan)</t>
  </si>
  <si>
    <t>Non-Occupant Co-Borrower</t>
  </si>
  <si>
    <t>Gift Funds Only</t>
  </si>
  <si>
    <t>Guarantor / Co-Signer</t>
  </si>
  <si>
    <t>Borrower Help</t>
  </si>
  <si>
    <t>Marital Status</t>
  </si>
  <si>
    <t>Married</t>
  </si>
  <si>
    <t>Separated / Divorced</t>
  </si>
  <si>
    <t>Will your spouse be on the loan?</t>
  </si>
  <si>
    <t>Will your spouse mortgage?</t>
  </si>
  <si>
    <t>Owner Occupied</t>
  </si>
  <si>
    <t>Expired / Renewal</t>
  </si>
  <si>
    <t>Multiple Sources</t>
  </si>
  <si>
    <t>Variable</t>
  </si>
  <si>
    <t>LISTS</t>
  </si>
  <si>
    <t>Column1</t>
  </si>
  <si>
    <t>Borrower Type?</t>
  </si>
  <si>
    <t>Borrower Help?</t>
  </si>
  <si>
    <t>Citizenship Status?</t>
  </si>
  <si>
    <t>Govt Issued ID Available?</t>
  </si>
  <si>
    <t>Marital Status?</t>
  </si>
  <si>
    <t>Desired Housing Payment?</t>
  </si>
  <si>
    <t>Real Estate Owned?</t>
  </si>
  <si>
    <t>Income Type?</t>
  </si>
  <si>
    <t>Credit Profile?</t>
  </si>
  <si>
    <t>Desired Loan Amount?</t>
  </si>
  <si>
    <t>Single / Unmarried</t>
  </si>
  <si>
    <t>Real Estate Owned</t>
  </si>
  <si>
    <t>Own 1 Unit</t>
  </si>
  <si>
    <t>Own 1+ Units</t>
  </si>
  <si>
    <t>No Score / Locked</t>
  </si>
  <si>
    <t>Downpayment  / Reserve Assets?</t>
  </si>
  <si>
    <t>Income Documents Available?</t>
  </si>
  <si>
    <t>Other (See List)</t>
  </si>
  <si>
    <t>Funds for Down Payment / Reserves?</t>
  </si>
  <si>
    <t>Subject Property in Community Property State?</t>
  </si>
  <si>
    <t>Borrower Profile Scenario</t>
  </si>
  <si>
    <t>Will Subject Property Be Owner Occupied?</t>
  </si>
  <si>
    <t>Non-Owner / Tenant Occupied</t>
  </si>
  <si>
    <t>ID Status</t>
  </si>
  <si>
    <t>Exceptional Circumstance</t>
  </si>
  <si>
    <t>Interested Party</t>
  </si>
  <si>
    <t>Prepared By</t>
  </si>
  <si>
    <t>Market</t>
  </si>
  <si>
    <t>Date</t>
  </si>
  <si>
    <t>REAL ESTATE MORTGAGE READINESS SUMMARY</t>
  </si>
  <si>
    <t xml:space="preserve"> </t>
  </si>
  <si>
    <t>Plain Lanugage</t>
  </si>
  <si>
    <t>Formula</t>
  </si>
  <si>
    <t>Joinder</t>
  </si>
  <si>
    <t>Texas &amp; Married</t>
  </si>
  <si>
    <t>Wisconsin &amp; Married</t>
  </si>
  <si>
    <t>Arizona &amp; Married</t>
  </si>
  <si>
    <t>California &amp; Married</t>
  </si>
  <si>
    <t>Louisiana &amp; Married</t>
  </si>
  <si>
    <t>Idaho &amp; Married</t>
  </si>
  <si>
    <t>Washington &amp; Married</t>
  </si>
  <si>
    <t>New Mexico &amp; Married</t>
  </si>
  <si>
    <t>Nevada &amp; Married</t>
  </si>
  <si>
    <t>Multiple properties owned - need REO Schedule</t>
  </si>
  <si>
    <t>Yes assets - verify (see doc list)</t>
  </si>
  <si>
    <t>No assets - need minimum investment / reserves</t>
  </si>
  <si>
    <t>Unsure - Look at List or Discuss Options with LO</t>
  </si>
  <si>
    <t>Output Area</t>
  </si>
  <si>
    <t>Profile</t>
  </si>
  <si>
    <t>No - missing paystubs</t>
  </si>
  <si>
    <t>Yes - Available - We need them!</t>
  </si>
  <si>
    <t>Current Monthly</t>
  </si>
  <si>
    <t>2-Year Average Annual</t>
  </si>
  <si>
    <t>Calculation 1</t>
  </si>
  <si>
    <t>Debt-To-Income</t>
  </si>
  <si>
    <t>DTI Result:</t>
  </si>
  <si>
    <t xml:space="preserve">Qualifying Product Max DTI </t>
  </si>
  <si>
    <t>Current Debt-to-Income Ratio  (DTI)</t>
  </si>
  <si>
    <t>Product Max DTI</t>
  </si>
  <si>
    <t>Gift Fund</t>
  </si>
  <si>
    <t>Non-Mortgaging Help; Disregard helper income</t>
  </si>
  <si>
    <t>Co-Borrower</t>
  </si>
  <si>
    <t>Non-Occupant</t>
  </si>
  <si>
    <t>Additional Review Required</t>
  </si>
  <si>
    <t>Guarantor</t>
  </si>
  <si>
    <t>Limited structures - Review Required</t>
  </si>
  <si>
    <t>Married + Non-Mortgaging Spouse</t>
  </si>
  <si>
    <t>Spouse obligations may still be reviewed per state guidelines</t>
  </si>
  <si>
    <t>Pre-Underwriting Snapshot (Not a Loan Approval*</t>
  </si>
  <si>
    <t>Income Status</t>
  </si>
  <si>
    <t>Variable Type</t>
  </si>
  <si>
    <t>Co-Borrower Docs</t>
  </si>
  <si>
    <t>Unable to Locate Financial Statements</t>
  </si>
  <si>
    <t>Calculation 2</t>
  </si>
  <si>
    <t>Calculation 3</t>
  </si>
  <si>
    <t>Loan-to-Value</t>
  </si>
  <si>
    <t>Special / Exceptional 47% - 55%</t>
  </si>
  <si>
    <t>Max Conventional &gt;43% - 46%</t>
  </si>
  <si>
    <t>Conventional 40% - 43%</t>
  </si>
  <si>
    <t>Conventional 39% and Below</t>
  </si>
  <si>
    <t>Term Scenario</t>
  </si>
  <si>
    <t>Rate Scenario</t>
  </si>
  <si>
    <t>Borrower Structure Table</t>
  </si>
  <si>
    <t>Co-Borrowers</t>
  </si>
  <si>
    <t>Married (Both)</t>
  </si>
  <si>
    <t>Married (Non-Borrowing Spouse)</t>
  </si>
  <si>
    <t>Married (Non-Borrowing Spouse) in Marital State</t>
  </si>
  <si>
    <t>Borrower with Guarantor (Non-Occupying / Co- Sign)</t>
  </si>
  <si>
    <t>Application</t>
  </si>
  <si>
    <t>Apply Together</t>
  </si>
  <si>
    <t>Borrower Applies; Spouse Acknowledge</t>
  </si>
  <si>
    <t xml:space="preserve">Entity </t>
  </si>
  <si>
    <t>Entity Applies; Owners Acknowldege</t>
  </si>
  <si>
    <t>Applicant Scenario</t>
  </si>
  <si>
    <t>Income Documentation</t>
  </si>
  <si>
    <t>All Eligible</t>
  </si>
  <si>
    <t>Borrower Only</t>
  </si>
  <si>
    <t>Both (if allowed)</t>
  </si>
  <si>
    <t>Real Estate / Entity Financial Statements</t>
  </si>
  <si>
    <t>Tax Returns; Varies by Lender / Program</t>
  </si>
  <si>
    <t>Credit Report</t>
  </si>
  <si>
    <t>Both (few exceptions)</t>
  </si>
  <si>
    <t>Both</t>
  </si>
  <si>
    <t>Varies; Guarantying Owners</t>
  </si>
  <si>
    <t>Income and debts of both borrowers must be included</t>
  </si>
  <si>
    <t>Borrower Structure</t>
  </si>
  <si>
    <t>Co-Borrower Income and CR required</t>
  </si>
  <si>
    <t>Non Occupant Co-Borrower (Guarantor Only)</t>
  </si>
  <si>
    <t>Non-Mortgaging Spouse</t>
  </si>
  <si>
    <t>Guarantor Only</t>
  </si>
  <si>
    <t>Funds available</t>
  </si>
  <si>
    <t>No or Unsure if Financials Available</t>
  </si>
  <si>
    <t>Entity Apply with Interested Party</t>
  </si>
  <si>
    <t>ID Available</t>
  </si>
  <si>
    <t>Foreign National and Non Resident Alien</t>
  </si>
  <si>
    <t>Term Assumption</t>
  </si>
  <si>
    <t>Rate Assumption</t>
  </si>
  <si>
    <t>Closing Cost Assumption</t>
  </si>
  <si>
    <t>Calculation 4</t>
  </si>
  <si>
    <t>Loan-to-Value Assumption</t>
  </si>
  <si>
    <t>None</t>
  </si>
  <si>
    <t>Purchase Power:</t>
  </si>
  <si>
    <t>Cash-Required-To-Close:</t>
  </si>
  <si>
    <t>Monthly Payment (P&amp;I Only):</t>
  </si>
  <si>
    <t>REO Schedule</t>
  </si>
  <si>
    <t>2 Years most recent Tax Returns</t>
  </si>
  <si>
    <t>Non-mortgaging spouse Acknowledgment &amp; Debts</t>
  </si>
  <si>
    <t>No or Expired</t>
  </si>
  <si>
    <t>Active BK</t>
  </si>
  <si>
    <t xml:space="preserve">* Stabilization of Income </t>
  </si>
  <si>
    <r>
      <t xml:space="preserve">Entity with </t>
    </r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>25% Interested Party</t>
    </r>
  </si>
  <si>
    <r>
      <t xml:space="preserve">Any party owning </t>
    </r>
    <r>
      <rPr>
        <b/>
        <sz val="14"/>
        <color rgb="FF3366FF"/>
        <rFont val="Aptos Narrow"/>
        <family val="2"/>
      </rPr>
      <t>≥</t>
    </r>
    <r>
      <rPr>
        <b/>
        <sz val="14"/>
        <color rgb="FF3366FF"/>
        <rFont val="Aptos Narrow"/>
        <family val="2"/>
        <scheme val="minor"/>
      </rPr>
      <t xml:space="preserve"> 25% Interest?</t>
    </r>
  </si>
  <si>
    <r>
      <t xml:space="preserve">Yes, if Help, Married in Marital, or </t>
    </r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 xml:space="preserve">25%. </t>
    </r>
  </si>
  <si>
    <r>
      <t xml:space="preserve">Entity Borrower with </t>
    </r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>25% Interested Party</t>
    </r>
  </si>
  <si>
    <r>
      <t xml:space="preserve">if interested party </t>
    </r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>25% then docs required</t>
    </r>
  </si>
  <si>
    <t>Premium Pricing / Ease of Approval</t>
  </si>
  <si>
    <t>Creditworthy / Competitive Pricing</t>
  </si>
  <si>
    <t>Acceptable / Constraints May Apply</t>
  </si>
  <si>
    <t>Additional Diligence / Fewer Options</t>
  </si>
  <si>
    <t>Non-Conventional /  Special Program Required</t>
  </si>
  <si>
    <t>Manual Review of Exceptional Circumstances</t>
  </si>
  <si>
    <t>Inquiry Input</t>
  </si>
  <si>
    <t>Estimated Housing Payment (P&amp;I ONLY)</t>
  </si>
  <si>
    <t>* Risk Based Pricing</t>
  </si>
  <si>
    <t>*Principal, Interest, Taxes, Ins., etc</t>
  </si>
  <si>
    <t>*Existing vs. Loan Impact</t>
  </si>
  <si>
    <t>*Vaires by Program</t>
  </si>
  <si>
    <t>* Guidelines Apply</t>
  </si>
  <si>
    <t>Cash Due From Borrower(s) (Assets / DPA / Gift / Reserves)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</si>
</sst>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.000%"/>
    <numFmt numFmtId="167" formatCode="0.0000"/>
    <numFmt numFmtId="168" formatCode="[$-F800]dddd\,\ mmmm\ dd\,\ yyyy"/>
  </numFmts>
  <fonts count="3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sz val="12"/>
      <color theme="1"/>
      <name val="ADLaM Display"/>
    </font>
    <font>
      <b/>
      <sz val="12"/>
      <color theme="0"/>
      <name val="ADLaM Display"/>
    </font>
    <font>
      <b/>
      <sz val="14"/>
      <color theme="1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  <font>
      <b/>
      <sz val="14"/>
      <color rgb="FF3366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rgb="FF3366FF"/>
      <name val="Aptos Narrow"/>
      <family val="2"/>
      <scheme val="minor"/>
    </font>
    <font>
      <b/>
      <sz val="18"/>
      <color rgb="FFFF9966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color rgb="FF3366FF"/>
      <name val="Aptos Narrow"/>
      <family val="2"/>
      <scheme val="minor"/>
    </font>
    <font>
      <b/>
      <sz val="11"/>
      <color rgb="FFFF9966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sz val="12"/>
      <name val="Aptos Narrow"/>
      <family val="2"/>
      <scheme val="minor"/>
    </font>
    <font>
      <b/>
      <sz val="18"/>
      <color theme="0" tint="-4.9989318521683403E-2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i/>
      <sz val="11"/>
      <color rgb="FF002060"/>
      <name val="Aptos Narrow"/>
      <family val="2"/>
      <scheme val="minor"/>
    </font>
    <font>
      <b/>
      <sz val="16"/>
      <color theme="9" tint="-0.499984740745262"/>
      <name val="Aptos Narrow"/>
      <family val="2"/>
      <scheme val="minor"/>
    </font>
    <font>
      <b/>
      <sz val="11"/>
      <name val="Calibri"/>
      <family val="2"/>
    </font>
    <font>
      <sz val="11"/>
      <color theme="9" tint="-0.499984740745262"/>
      <name val="Aptos Narrow"/>
      <family val="2"/>
      <scheme val="minor"/>
    </font>
    <font>
      <b/>
      <sz val="13.5"/>
      <color theme="9" tint="-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color theme="5" tint="-0.499984740745262"/>
      <name val="Aptos Narrow"/>
      <family val="2"/>
      <scheme val="minor"/>
    </font>
    <font>
      <sz val="12"/>
      <color theme="1"/>
      <name val="Arial Unicode MS"/>
    </font>
    <font>
      <b/>
      <sz val="16"/>
      <color theme="5" tint="-0.499984740745262"/>
      <name val="Aptos Narrow"/>
      <family val="2"/>
      <scheme val="minor"/>
    </font>
    <font>
      <sz val="16"/>
      <color theme="1"/>
      <name val="Arial Unicode MS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rgb="FF3366FF"/>
      <name val="Aptos Narrow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99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0" xfId="0" applyFont="1" applyFill="1"/>
    <xf numFmtId="164" fontId="0" fillId="0" borderId="0" xfId="0" applyNumberFormat="1"/>
    <xf numFmtId="0" fontId="1" fillId="3" borderId="0" xfId="0" applyFont="1" applyFill="1"/>
    <xf numFmtId="8" fontId="0" fillId="0" borderId="0" xfId="0" applyNumberFormat="1"/>
    <xf numFmtId="9" fontId="0" fillId="0" borderId="0" xfId="1" applyFont="1"/>
    <xf numFmtId="165" fontId="0" fillId="0" borderId="0" xfId="0" applyNumberFormat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166" fontId="0" fillId="0" borderId="0" xfId="1" applyNumberFormat="1" applyFont="1"/>
    <xf numFmtId="0" fontId="5" fillId="7" borderId="0" xfId="0" applyFont="1" applyFill="1"/>
    <xf numFmtId="0" fontId="5" fillId="8" borderId="0" xfId="0" applyFont="1" applyFill="1"/>
    <xf numFmtId="0" fontId="0" fillId="9" borderId="0" xfId="0" applyFill="1"/>
    <xf numFmtId="167" fontId="0" fillId="0" borderId="0" xfId="1" applyNumberFormat="1" applyFont="1"/>
    <xf numFmtId="0" fontId="5" fillId="0" borderId="0" xfId="0" applyFont="1"/>
    <xf numFmtId="0" fontId="0" fillId="10" borderId="0" xfId="0" applyFill="1"/>
    <xf numFmtId="0" fontId="6" fillId="0" borderId="0" xfId="0" applyFont="1" applyAlignment="1">
      <alignment horizontal="left" vertical="top" wrapText="1"/>
    </xf>
    <xf numFmtId="0" fontId="12" fillId="14" borderId="0" xfId="0" applyFont="1" applyFill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top" wrapText="1"/>
    </xf>
    <xf numFmtId="0" fontId="0" fillId="15" borderId="0" xfId="0" applyFill="1"/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6" fontId="13" fillId="0" borderId="2" xfId="0" applyNumberFormat="1" applyFont="1" applyBorder="1" applyAlignment="1">
      <alignment horizontal="center" vertical="top" wrapText="1"/>
    </xf>
    <xf numFmtId="0" fontId="15" fillId="12" borderId="2" xfId="0" applyFont="1" applyFill="1" applyBorder="1" applyAlignment="1">
      <alignment horizontal="center" vertical="top" wrapText="1"/>
    </xf>
    <xf numFmtId="164" fontId="16" fillId="12" borderId="2" xfId="0" applyNumberFormat="1" applyFont="1" applyFill="1" applyBorder="1" applyAlignment="1">
      <alignment horizontal="center" vertical="top" wrapText="1"/>
    </xf>
    <xf numFmtId="164" fontId="16" fillId="12" borderId="2" xfId="0" applyNumberFormat="1" applyFont="1" applyFill="1" applyBorder="1" applyAlignment="1">
      <alignment horizontal="center" vertical="top"/>
    </xf>
    <xf numFmtId="6" fontId="16" fillId="12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16" borderId="2" xfId="0" applyFill="1" applyBorder="1"/>
    <xf numFmtId="0" fontId="14" fillId="16" borderId="2" xfId="0" applyFont="1" applyFill="1" applyBorder="1" applyAlignment="1">
      <alignment horizontal="right"/>
    </xf>
    <xf numFmtId="0" fontId="8" fillId="16" borderId="2" xfId="0" applyFont="1" applyFill="1" applyBorder="1" applyAlignment="1">
      <alignment horizontal="center"/>
    </xf>
    <xf numFmtId="0" fontId="0" fillId="17" borderId="2" xfId="0" applyFill="1" applyBorder="1"/>
    <xf numFmtId="0" fontId="18" fillId="17" borderId="2" xfId="0" applyFont="1" applyFill="1" applyBorder="1" applyAlignment="1">
      <alignment horizontal="right"/>
    </xf>
    <xf numFmtId="0" fontId="18" fillId="0" borderId="0" xfId="0" applyFont="1" applyAlignment="1">
      <alignment horizontal="right"/>
    </xf>
    <xf numFmtId="0" fontId="19" fillId="0" borderId="0" xfId="0" applyFont="1"/>
    <xf numFmtId="168" fontId="19" fillId="0" borderId="0" xfId="0" applyNumberFormat="1" applyFont="1" applyAlignment="1">
      <alignment horizontal="left"/>
    </xf>
    <xf numFmtId="0" fontId="11" fillId="8" borderId="0" xfId="0" applyFont="1" applyFill="1" applyAlignment="1">
      <alignment horizontal="center"/>
    </xf>
    <xf numFmtId="0" fontId="0" fillId="0" borderId="0" xfId="0" quotePrefix="1"/>
    <xf numFmtId="0" fontId="0" fillId="4" borderId="2" xfId="0" applyFill="1" applyBorder="1"/>
    <xf numFmtId="0" fontId="0" fillId="4" borderId="2" xfId="0" quotePrefix="1" applyFill="1" applyBorder="1"/>
    <xf numFmtId="0" fontId="0" fillId="4" borderId="0" xfId="0" applyFill="1"/>
    <xf numFmtId="0" fontId="0" fillId="19" borderId="2" xfId="0" applyFill="1" applyBorder="1"/>
    <xf numFmtId="0" fontId="0" fillId="19" borderId="2" xfId="0" applyFill="1" applyBorder="1" applyAlignment="1">
      <alignment vertical="center" wrapText="1"/>
    </xf>
    <xf numFmtId="0" fontId="2" fillId="19" borderId="2" xfId="0" applyFont="1" applyFill="1" applyBorder="1" applyAlignment="1">
      <alignment vertical="center" wrapText="1"/>
    </xf>
    <xf numFmtId="9" fontId="0" fillId="0" borderId="0" xfId="0" applyNumberFormat="1" applyAlignment="1">
      <alignment horizontal="center"/>
    </xf>
    <xf numFmtId="0" fontId="17" fillId="13" borderId="2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vertical="center"/>
    </xf>
    <xf numFmtId="0" fontId="0" fillId="2" borderId="2" xfId="0" applyFill="1" applyBorder="1"/>
    <xf numFmtId="164" fontId="0" fillId="2" borderId="2" xfId="0" applyNumberFormat="1" applyFill="1" applyBorder="1"/>
    <xf numFmtId="164" fontId="0" fillId="4" borderId="2" xfId="0" applyNumberFormat="1" applyFill="1" applyBorder="1"/>
    <xf numFmtId="0" fontId="0" fillId="20" borderId="2" xfId="0" applyFill="1" applyBorder="1"/>
    <xf numFmtId="9" fontId="0" fillId="20" borderId="2" xfId="1" applyFont="1" applyFill="1" applyBorder="1"/>
    <xf numFmtId="0" fontId="24" fillId="20" borderId="2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6" fontId="0" fillId="0" borderId="0" xfId="0" applyNumberFormat="1"/>
    <xf numFmtId="0" fontId="0" fillId="21" borderId="0" xfId="0" applyFill="1"/>
    <xf numFmtId="0" fontId="0" fillId="22" borderId="0" xfId="0" applyFill="1"/>
    <xf numFmtId="0" fontId="3" fillId="21" borderId="2" xfId="0" applyFont="1" applyFill="1" applyBorder="1" applyAlignment="1">
      <alignment vertical="center"/>
    </xf>
    <xf numFmtId="0" fontId="0" fillId="21" borderId="2" xfId="0" applyFill="1" applyBorder="1"/>
    <xf numFmtId="0" fontId="25" fillId="0" borderId="0" xfId="0" applyFont="1"/>
    <xf numFmtId="0" fontId="27" fillId="0" borderId="0" xfId="0" applyFont="1" applyAlignment="1">
      <alignment horizontal="center" vertical="top" wrapText="1"/>
    </xf>
    <xf numFmtId="0" fontId="0" fillId="19" borderId="5" xfId="0" applyFill="1" applyBorder="1"/>
    <xf numFmtId="164" fontId="0" fillId="21" borderId="0" xfId="0" applyNumberFormat="1" applyFill="1"/>
    <xf numFmtId="0" fontId="0" fillId="23" borderId="2" xfId="0" applyFill="1" applyBorder="1"/>
    <xf numFmtId="0" fontId="0" fillId="23" borderId="2" xfId="0" applyFill="1" applyBorder="1" applyAlignment="1">
      <alignment horizontal="right"/>
    </xf>
    <xf numFmtId="0" fontId="0" fillId="24" borderId="2" xfId="0" applyFill="1" applyBorder="1"/>
    <xf numFmtId="10" fontId="0" fillId="24" borderId="2" xfId="0" applyNumberFormat="1" applyFill="1" applyBorder="1"/>
    <xf numFmtId="0" fontId="0" fillId="24" borderId="2" xfId="0" applyFill="1" applyBorder="1" applyAlignment="1">
      <alignment horizontal="right"/>
    </xf>
    <xf numFmtId="9" fontId="0" fillId="24" borderId="2" xfId="1" applyFont="1" applyFill="1" applyBorder="1"/>
    <xf numFmtId="166" fontId="0" fillId="23" borderId="2" xfId="1" applyNumberFormat="1" applyFont="1" applyFill="1" applyBorder="1"/>
    <xf numFmtId="164" fontId="0" fillId="24" borderId="2" xfId="2" applyNumberFormat="1" applyFont="1" applyFill="1" applyBorder="1"/>
    <xf numFmtId="6" fontId="0" fillId="23" borderId="2" xfId="0" applyNumberFormat="1" applyFill="1" applyBorder="1"/>
    <xf numFmtId="0" fontId="28" fillId="24" borderId="2" xfId="0" applyFont="1" applyFill="1" applyBorder="1" applyAlignment="1">
      <alignment horizontal="left"/>
    </xf>
    <xf numFmtId="0" fontId="28" fillId="23" borderId="2" xfId="0" applyFont="1" applyFill="1" applyBorder="1"/>
    <xf numFmtId="0" fontId="29" fillId="20" borderId="2" xfId="0" applyFont="1" applyFill="1" applyBorder="1"/>
    <xf numFmtId="0" fontId="29" fillId="4" borderId="2" xfId="0" applyFont="1" applyFill="1" applyBorder="1"/>
    <xf numFmtId="0" fontId="30" fillId="18" borderId="2" xfId="0" applyFont="1" applyFill="1" applyBorder="1" applyAlignment="1">
      <alignment horizontal="right" vertical="center" wrapText="1"/>
    </xf>
    <xf numFmtId="164" fontId="31" fillId="18" borderId="2" xfId="0" applyNumberFormat="1" applyFont="1" applyFill="1" applyBorder="1" applyAlignment="1">
      <alignment horizontal="left" vertical="center" wrapText="1"/>
    </xf>
    <xf numFmtId="0" fontId="9" fillId="18" borderId="2" xfId="0" applyFont="1" applyFill="1" applyBorder="1" applyAlignment="1">
      <alignment horizontal="right" vertical="center" wrapText="1"/>
    </xf>
    <xf numFmtId="0" fontId="32" fillId="18" borderId="2" xfId="0" applyFont="1" applyFill="1" applyBorder="1" applyAlignment="1">
      <alignment horizontal="right" vertical="center" wrapText="1"/>
    </xf>
    <xf numFmtId="164" fontId="33" fillId="18" borderId="2" xfId="0" applyNumberFormat="1" applyFont="1" applyFill="1" applyBorder="1" applyAlignment="1">
      <alignment horizontal="left" vertical="center" wrapText="1"/>
    </xf>
    <xf numFmtId="6" fontId="27" fillId="18" borderId="2" xfId="0" applyNumberFormat="1" applyFont="1" applyFill="1" applyBorder="1" applyAlignment="1">
      <alignment horizontal="left"/>
    </xf>
    <xf numFmtId="0" fontId="30" fillId="18" borderId="2" xfId="0" applyFont="1" applyFill="1" applyBorder="1" applyAlignment="1">
      <alignment horizontal="right"/>
    </xf>
    <xf numFmtId="164" fontId="34" fillId="18" borderId="2" xfId="0" applyNumberFormat="1" applyFont="1" applyFill="1" applyBorder="1" applyAlignment="1">
      <alignment horizontal="left"/>
    </xf>
    <xf numFmtId="9" fontId="31" fillId="18" borderId="2" xfId="1" applyFont="1" applyFill="1" applyBorder="1" applyAlignment="1">
      <alignment horizontal="left" vertical="center" wrapText="1"/>
    </xf>
    <xf numFmtId="0" fontId="0" fillId="26" borderId="0" xfId="0" applyFill="1"/>
    <xf numFmtId="0" fontId="28" fillId="21" borderId="0" xfId="0" applyFont="1" applyFill="1"/>
    <xf numFmtId="0" fontId="0" fillId="24" borderId="2" xfId="0" applyFill="1" applyBorder="1" applyAlignment="1">
      <alignment vertical="top"/>
    </xf>
    <xf numFmtId="0" fontId="1" fillId="24" borderId="2" xfId="0" applyFont="1" applyFill="1" applyBorder="1" applyAlignment="1">
      <alignment vertical="top" wrapText="1"/>
    </xf>
    <xf numFmtId="165" fontId="0" fillId="24" borderId="2" xfId="0" applyNumberFormat="1" applyFill="1" applyBorder="1" applyAlignment="1">
      <alignment vertical="top"/>
    </xf>
    <xf numFmtId="0" fontId="26" fillId="18" borderId="3" xfId="0" applyFont="1" applyFill="1" applyBorder="1" applyAlignment="1">
      <alignment horizontal="center" vertical="center"/>
    </xf>
    <xf numFmtId="0" fontId="26" fillId="18" borderId="4" xfId="0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20" fillId="18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35" fillId="25" borderId="0" xfId="0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2">
    <dxf>
      <numFmt numFmtId="166" formatCode="0.0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color rgb="FFFF9966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366FF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5" tint="-0.499984740745262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rgb="FF3366FF"/>
        <name val="Aptos Narrow"/>
        <family val="2"/>
        <scheme val="minor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LaM Display"/>
        <scheme val="none"/>
      </font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>
          <fgColor theme="9" tint="0.79998168889431442"/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ool Unique" pivot="0" count="1" xr9:uid="{8166DBFD-7013-4088-9368-5045B67A9086}">
      <tableStyleElement type="wholeTable" dxfId="11"/>
    </tableStyle>
  </tableStyles>
  <colors>
    <mruColors>
      <color rgb="FFFFFFCC"/>
      <color rgb="FFFF9966"/>
      <color rgb="FFFFCC00"/>
      <color rgb="FFCCCCFF"/>
      <color rgb="FFCCFFFF"/>
      <color rgb="FFFFCCCC"/>
      <color rgb="FF3366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gozi\Downloads\Hold_vs_Exit_Template.xlsx" TargetMode="External"/><Relationship Id="rId1" Type="http://schemas.openxmlformats.org/officeDocument/2006/relationships/externalLinkPath" Target="file:///C:\Users\ngozi\Downloads\Hold_vs_Exit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Cash_Flow"/>
      <sheetName val="Exit_Analysis"/>
      <sheetName val="Decision_Summary"/>
      <sheetName val="DRAFT Profile"/>
    </sheetNames>
    <sheetDataSet>
      <sheetData sheetId="0">
        <row r="11">
          <cell r="B11">
            <v>240000</v>
          </cell>
        </row>
        <row r="12">
          <cell r="B12">
            <v>6.5000000000000002E-2</v>
          </cell>
        </row>
        <row r="13">
          <cell r="B13">
            <v>30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65AF3-69B5-4009-B01F-C5AF6AF26EF4}" name="Table1" displayName="Table1" ref="B77:V98" totalsRowShown="0" headerRowDxfId="10">
  <autoFilter ref="B77:V98" xr:uid="{11F65AF3-69B5-4009-B01F-C5AF6AF26EF4}"/>
  <tableColumns count="21">
    <tableColumn id="1" xr3:uid="{E476A724-9C3F-4FC3-8940-828209D6FF8D}" name="BorrowerType"/>
    <tableColumn id="2" xr3:uid="{8BE6AB0C-1DA1-4588-A644-3300F98548EF}" name="Help"/>
    <tableColumn id="3" xr3:uid="{0F15C218-5248-442C-8E78-062D91F14E2A}" name="Citizenship"/>
    <tableColumn id="4" xr3:uid="{D44C6F4C-638E-4745-94E8-7F88EBE36888}" name="Govt ID Available"/>
    <tableColumn id="5" xr3:uid="{86740B03-862D-4F17-9105-839CE0D554CC}" name="Marital Status"/>
    <tableColumn id="6" xr3:uid="{831A42F5-4000-4B8E-AC71-D37FF3937906}" name="Will your spouse mortgage?"/>
    <tableColumn id="7" xr3:uid="{0DB3AE48-DEA1-4CF9-8914-52C7CDE3CE92}" name="Active Bankruptcy"/>
    <tableColumn id="8" xr3:uid="{9BA687D2-541B-48CF-9591-F46C6F596A56}" name="Discharged Bankuptcy?"/>
    <tableColumn id="9" xr3:uid="{16D517E4-48BC-44AC-93BC-0890FC5D9037}" name="Community Property State"/>
    <tableColumn id="10" xr3:uid="{8470401F-8E66-428A-9019-DB67B6CF2202}" name="Owner Occupied"/>
    <tableColumn id="11" xr3:uid="{81DD1403-88CE-4853-975A-8E1707B78D12}" name="Another party owns &gt;25% Interest"/>
    <tableColumn id="12" xr3:uid="{AFE2182A-5E4E-4C3C-AC8E-7D3C2AD0F27D}" name="Current Housing"/>
    <tableColumn id="13" xr3:uid="{40E3F42A-F9BA-4AD1-B52D-310A6990B5F5}" name="Current Income"/>
    <tableColumn id="14" xr3:uid="{78E3FA6A-F55D-4013-B2B1-B78CA22ECB33}" name="Other Incomes" dataDxfId="9"/>
    <tableColumn id="15" xr3:uid="{8B83781D-0CCF-4E44-B398-DB9A6C1628A2}" name="Financials Available?"/>
    <tableColumn id="16" xr3:uid="{B9A71144-9FA4-482E-A7A9-5413A8505D7C}" name="Credit"/>
    <tableColumn id="21" xr3:uid="{EDD1CCC5-D5B9-4B3B-AC9D-22E5F69F54A6}" name="Downpayment  / Reserve Assets?" dataDxfId="8"/>
    <tableColumn id="17" xr3:uid="{A75388EB-6DEE-4DBA-95D9-076A6B875D22}" name="Assets"/>
    <tableColumn id="18" xr3:uid="{2510864B-C835-499B-9EB4-4D1096EEDC06}" name="Other Assets &amp; Credits"/>
    <tableColumn id="19" xr3:uid="{F44E1FEA-F8B6-4C76-8D91-687F3C70C7CD}" name="Eligibility"/>
    <tableColumn id="20" xr3:uid="{13E24E6C-84DF-4D34-948C-22E98751FC84}" name="Column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FD16A-AC7B-4F31-9167-720E4CF0AC8C}" name="Table2" displayName="Table2" ref="A1:D17" totalsRowShown="0" headerRowDxfId="7" dataDxfId="6">
  <autoFilter ref="A1:D17" xr:uid="{E35FD16A-AC7B-4F31-9167-720E4CF0AC8C}"/>
  <tableColumns count="4">
    <tableColumn id="1" xr3:uid="{24DAFB3A-1913-4D54-8EE0-0EC84EA6582A}" name="Category" dataDxfId="5"/>
    <tableColumn id="2" xr3:uid="{AB0424B9-814B-4D3A-BEC5-AAB8F4DA9BDD}" name="Question" dataDxfId="4"/>
    <tableColumn id="3" xr3:uid="{4CC0687A-A135-470F-85B2-BBA5B5FDB20D}" name="Inquiry Input" dataDxfId="3"/>
    <tableColumn id="4" xr3:uid="{C07D4004-DBDA-4F58-AD1B-87AEFD795BEB}" name="Flags" dataDxfId="2"/>
  </tableColumns>
  <tableStyleInfo name="Tool Uniq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D9DFFE-DAC6-4546-8CF2-8CACDF5B40C6}" name="Table3" displayName="Table3" ref="E27:I43" totalsRowShown="0" headerRowDxfId="1">
  <autoFilter ref="E27:I43" xr:uid="{94D9DFFE-DAC6-4546-8CF2-8CACDF5B40C6}"/>
  <tableColumns count="5">
    <tableColumn id="1" xr3:uid="{2119E597-BF46-4518-9691-AFCE1AD0CD77}" name="Debt-To-Income"/>
    <tableColumn id="2" xr3:uid="{6B0607FE-931D-4EE7-88F9-1DF9B19C2E11}" name="Product Max DTI"/>
    <tableColumn id="3" xr3:uid="{398703FA-C213-403C-A6C8-A94106F0A4DF}" name="Loan-to-Value"/>
    <tableColumn id="4" xr3:uid="{DC9140A4-2571-4C4A-BB27-92BC338215CA}" name="Term Scenario"/>
    <tableColumn id="5" xr3:uid="{2DF72083-A0F2-4119-858A-592239DDE465}" name="Rate Scenario" dataDxfId="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999F87-D791-458D-A13A-079325922A0C}" name="Table5" displayName="Table5" ref="G3:J12" totalsRowShown="0">
  <autoFilter ref="G3:J12" xr:uid="{B3999F87-D791-458D-A13A-079325922A0C}"/>
  <tableColumns count="4">
    <tableColumn id="1" xr3:uid="{43DACFB4-BE9D-4713-AF6A-6797B5E174D3}" name="Applicant Scenario"/>
    <tableColumn id="2" xr3:uid="{524A9D88-4C9E-4217-B37F-9B6C5E77B85E}" name="Application"/>
    <tableColumn id="3" xr3:uid="{EB08095E-890A-4CB4-9ADE-196D10AA927D}" name="Income Documentation"/>
    <tableColumn id="4" xr3:uid="{68F3791B-9175-4148-856C-C2F9574C9011}" name="Credit Report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44BB-48F0-4678-B40D-CFC364EC91F5}">
  <dimension ref="A1:V98"/>
  <sheetViews>
    <sheetView topLeftCell="B1" zoomScaleNormal="100" workbookViewId="0">
      <selection activeCell="C17" sqref="C17"/>
    </sheetView>
  </sheetViews>
  <sheetFormatPr defaultRowHeight="14.4"/>
  <cols>
    <col min="1" max="1" width="28" hidden="1" customWidth="1"/>
    <col min="2" max="2" width="28.21875" customWidth="1"/>
    <col min="3" max="3" width="48.6640625" customWidth="1"/>
    <col min="4" max="4" width="37.33203125" customWidth="1"/>
    <col min="6" max="6" width="20.109375" customWidth="1"/>
    <col min="7" max="7" width="12.109375" bestFit="1" customWidth="1"/>
    <col min="8" max="8" width="14.88671875" bestFit="1" customWidth="1"/>
    <col min="9" max="9" width="16.88671875" customWidth="1"/>
    <col min="10" max="10" width="14.5546875" customWidth="1"/>
    <col min="11" max="11" width="23.109375" bestFit="1" customWidth="1"/>
    <col min="12" max="12" width="16.77734375" bestFit="1" customWidth="1"/>
    <col min="13" max="13" width="21.109375" bestFit="1" customWidth="1"/>
    <col min="14" max="14" width="24.109375" customWidth="1"/>
    <col min="15" max="15" width="19.6640625" customWidth="1"/>
    <col min="16" max="16" width="26.88671875" bestFit="1" customWidth="1"/>
    <col min="17" max="17" width="16.6640625" customWidth="1"/>
    <col min="18" max="18" width="12.21875" bestFit="1" customWidth="1"/>
    <col min="19" max="19" width="14.33203125" bestFit="1" customWidth="1"/>
    <col min="20" max="20" width="15.33203125" bestFit="1" customWidth="1"/>
    <col min="21" max="21" width="10.5546875" bestFit="1" customWidth="1"/>
    <col min="22" max="22" width="10.77734375" bestFit="1" customWidth="1"/>
    <col min="23" max="23" width="21" bestFit="1" customWidth="1"/>
    <col min="24" max="24" width="17.44140625" customWidth="1"/>
    <col min="25" max="25" width="12.33203125" bestFit="1" customWidth="1"/>
  </cols>
  <sheetData>
    <row r="1" spans="1:4" ht="28.8">
      <c r="A1" s="21" t="s">
        <v>160</v>
      </c>
      <c r="B1" s="21" t="s">
        <v>161</v>
      </c>
      <c r="C1" s="21" t="s">
        <v>330</v>
      </c>
      <c r="D1" s="21" t="s">
        <v>24</v>
      </c>
    </row>
    <row r="2" spans="1:4" ht="23.4">
      <c r="A2" s="24" t="s">
        <v>6</v>
      </c>
      <c r="B2" s="25" t="s">
        <v>189</v>
      </c>
      <c r="C2" s="26" t="s">
        <v>1</v>
      </c>
      <c r="D2" s="68"/>
    </row>
    <row r="3" spans="1:4" ht="23.4">
      <c r="A3" s="24" t="s">
        <v>6</v>
      </c>
      <c r="B3" s="25" t="s">
        <v>190</v>
      </c>
      <c r="C3" s="26" t="s">
        <v>175</v>
      </c>
      <c r="D3" s="68"/>
    </row>
    <row r="4" spans="1:4" ht="23.4">
      <c r="A4" s="24" t="s">
        <v>124</v>
      </c>
      <c r="B4" s="25" t="s">
        <v>191</v>
      </c>
      <c r="C4" s="26" t="s">
        <v>128</v>
      </c>
      <c r="D4" s="68"/>
    </row>
    <row r="5" spans="1:4" ht="23.4">
      <c r="A5" s="24" t="s">
        <v>124</v>
      </c>
      <c r="B5" s="25" t="s">
        <v>192</v>
      </c>
      <c r="C5" s="26" t="s">
        <v>13</v>
      </c>
      <c r="D5" s="68"/>
    </row>
    <row r="6" spans="1:4" ht="23.4">
      <c r="A6" s="24" t="s">
        <v>124</v>
      </c>
      <c r="B6" s="25" t="s">
        <v>193</v>
      </c>
      <c r="C6" s="26" t="s">
        <v>179</v>
      </c>
      <c r="D6" s="68"/>
    </row>
    <row r="7" spans="1:4" ht="36">
      <c r="A7" s="24" t="s">
        <v>124</v>
      </c>
      <c r="B7" s="25" t="s">
        <v>181</v>
      </c>
      <c r="C7" s="26" t="s">
        <v>13</v>
      </c>
      <c r="D7" s="68"/>
    </row>
    <row r="8" spans="1:4" ht="23.4">
      <c r="A8" s="24" t="s">
        <v>124</v>
      </c>
      <c r="B8" s="25" t="s">
        <v>126</v>
      </c>
      <c r="C8" s="26" t="s">
        <v>16</v>
      </c>
      <c r="D8" s="68"/>
    </row>
    <row r="9" spans="1:4" ht="36">
      <c r="A9" s="24" t="s">
        <v>124</v>
      </c>
      <c r="B9" s="25" t="s">
        <v>127</v>
      </c>
      <c r="C9" s="26" t="s">
        <v>16</v>
      </c>
      <c r="D9" s="68"/>
    </row>
    <row r="10" spans="1:4" ht="54">
      <c r="A10" s="24" t="s">
        <v>125</v>
      </c>
      <c r="B10" s="25" t="s">
        <v>208</v>
      </c>
      <c r="C10" s="26" t="s">
        <v>151</v>
      </c>
      <c r="D10" s="68"/>
    </row>
    <row r="11" spans="1:4" ht="36">
      <c r="A11" s="24" t="s">
        <v>125</v>
      </c>
      <c r="B11" s="25" t="s">
        <v>210</v>
      </c>
      <c r="C11" s="26" t="s">
        <v>183</v>
      </c>
      <c r="D11" s="68"/>
    </row>
    <row r="12" spans="1:4" ht="36">
      <c r="A12" s="24" t="s">
        <v>125</v>
      </c>
      <c r="B12" s="25" t="s">
        <v>320</v>
      </c>
      <c r="C12" s="26" t="s">
        <v>16</v>
      </c>
      <c r="D12" s="68"/>
    </row>
    <row r="13" spans="1:4" ht="23.4">
      <c r="A13" s="24" t="s">
        <v>7</v>
      </c>
      <c r="B13" s="25" t="s">
        <v>195</v>
      </c>
      <c r="C13" s="27" t="s">
        <v>2</v>
      </c>
      <c r="D13" s="68"/>
    </row>
    <row r="14" spans="1:4" ht="23.4">
      <c r="A14" s="24" t="s">
        <v>8</v>
      </c>
      <c r="B14" s="25" t="s">
        <v>196</v>
      </c>
      <c r="C14" s="27" t="s">
        <v>27</v>
      </c>
      <c r="D14" s="68"/>
    </row>
    <row r="15" spans="1:4" ht="36">
      <c r="A15" s="24" t="s">
        <v>9</v>
      </c>
      <c r="B15" s="25" t="s">
        <v>205</v>
      </c>
      <c r="C15" s="27" t="s">
        <v>13</v>
      </c>
      <c r="D15" s="68"/>
    </row>
    <row r="16" spans="1:4" ht="36">
      <c r="A16" s="24" t="s">
        <v>10</v>
      </c>
      <c r="B16" s="25" t="s">
        <v>207</v>
      </c>
      <c r="C16" s="28" t="s">
        <v>13</v>
      </c>
      <c r="D16" s="68"/>
    </row>
    <row r="17" spans="1:4" ht="23.4">
      <c r="A17" s="24" t="s">
        <v>5</v>
      </c>
      <c r="B17" s="25" t="s">
        <v>197</v>
      </c>
      <c r="C17" s="27" t="s">
        <v>17</v>
      </c>
      <c r="D17" s="68"/>
    </row>
    <row r="75" spans="2:22" ht="15" thickBot="1"/>
    <row r="76" spans="2:22" ht="17.399999999999999" thickBot="1">
      <c r="B76" s="22" t="s">
        <v>187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 spans="2:22" ht="67.2">
      <c r="B77" s="20" t="s">
        <v>12</v>
      </c>
      <c r="C77" s="20" t="s">
        <v>172</v>
      </c>
      <c r="D77" s="20" t="s">
        <v>132</v>
      </c>
      <c r="E77" s="20" t="s">
        <v>133</v>
      </c>
      <c r="F77" s="20" t="s">
        <v>178</v>
      </c>
      <c r="G77" s="20" t="s">
        <v>182</v>
      </c>
      <c r="H77" s="20" t="s">
        <v>136</v>
      </c>
      <c r="I77" s="20" t="s">
        <v>137</v>
      </c>
      <c r="J77" s="20" t="s">
        <v>142</v>
      </c>
      <c r="K77" s="20" t="s">
        <v>183</v>
      </c>
      <c r="L77" s="20" t="s">
        <v>152</v>
      </c>
      <c r="M77" s="20" t="s">
        <v>26</v>
      </c>
      <c r="N77" s="20" t="s">
        <v>25</v>
      </c>
      <c r="O77" s="20" t="s">
        <v>28</v>
      </c>
      <c r="P77" s="20" t="s">
        <v>19</v>
      </c>
      <c r="Q77" s="20" t="s">
        <v>5</v>
      </c>
      <c r="R77" s="20" t="s">
        <v>204</v>
      </c>
      <c r="S77" s="20" t="s">
        <v>10</v>
      </c>
      <c r="T77" s="20" t="s">
        <v>59</v>
      </c>
      <c r="U77" s="20" t="s">
        <v>164</v>
      </c>
      <c r="V77" s="20" t="s">
        <v>188</v>
      </c>
    </row>
    <row r="78" spans="2:22" ht="67.2">
      <c r="B78" s="20" t="s">
        <v>1</v>
      </c>
      <c r="C78" s="20" t="s">
        <v>173</v>
      </c>
      <c r="D78" s="20" t="s">
        <v>128</v>
      </c>
      <c r="E78" s="20" t="s">
        <v>13</v>
      </c>
      <c r="F78" s="20" t="s">
        <v>199</v>
      </c>
      <c r="G78" s="20" t="s">
        <v>16</v>
      </c>
      <c r="H78" s="20" t="s">
        <v>16</v>
      </c>
      <c r="I78" s="20" t="s">
        <v>138</v>
      </c>
      <c r="J78" s="20" t="s">
        <v>151</v>
      </c>
      <c r="K78" s="20" t="s">
        <v>183</v>
      </c>
      <c r="L78" s="20" t="s">
        <v>13</v>
      </c>
      <c r="M78" s="20" t="s">
        <v>2</v>
      </c>
      <c r="N78" s="20" t="s">
        <v>27</v>
      </c>
      <c r="O78" s="20" t="s">
        <v>29</v>
      </c>
      <c r="P78" s="20" t="s">
        <v>13</v>
      </c>
      <c r="Q78" s="20" t="s">
        <v>70</v>
      </c>
      <c r="R78" s="20" t="s">
        <v>13</v>
      </c>
      <c r="S78" s="20" t="s">
        <v>49</v>
      </c>
      <c r="T78" s="20" t="s">
        <v>60</v>
      </c>
      <c r="U78" s="20" t="s">
        <v>156</v>
      </c>
      <c r="V78" s="20"/>
    </row>
    <row r="79" spans="2:22" ht="67.2">
      <c r="B79" s="20" t="s">
        <v>14</v>
      </c>
      <c r="C79" s="20" t="s">
        <v>174</v>
      </c>
      <c r="D79" s="20" t="s">
        <v>129</v>
      </c>
      <c r="E79" s="20" t="s">
        <v>134</v>
      </c>
      <c r="F79" s="20" t="s">
        <v>179</v>
      </c>
      <c r="G79" s="20" t="s">
        <v>13</v>
      </c>
      <c r="H79" s="20" t="s">
        <v>13</v>
      </c>
      <c r="I79" s="20" t="s">
        <v>139</v>
      </c>
      <c r="J79" s="20" t="s">
        <v>143</v>
      </c>
      <c r="K79" s="20" t="s">
        <v>211</v>
      </c>
      <c r="L79" s="20" t="s">
        <v>16</v>
      </c>
      <c r="M79" s="20" t="s">
        <v>201</v>
      </c>
      <c r="N79" s="20" t="s">
        <v>15</v>
      </c>
      <c r="O79" s="20" t="s">
        <v>30</v>
      </c>
      <c r="P79" s="20" t="s">
        <v>16</v>
      </c>
      <c r="Q79" s="20" t="s">
        <v>71</v>
      </c>
      <c r="R79" s="20" t="s">
        <v>16</v>
      </c>
      <c r="S79" s="20" t="s">
        <v>50</v>
      </c>
      <c r="T79" s="20" t="s">
        <v>61</v>
      </c>
      <c r="U79" s="20" t="s">
        <v>157</v>
      </c>
      <c r="V79" s="20"/>
    </row>
    <row r="80" spans="2:22" ht="67.2">
      <c r="B80" s="20" t="s">
        <v>18</v>
      </c>
      <c r="C80" s="20" t="s">
        <v>175</v>
      </c>
      <c r="D80" s="20" t="s">
        <v>130</v>
      </c>
      <c r="E80" s="20" t="s">
        <v>135</v>
      </c>
      <c r="F80" s="20" t="s">
        <v>180</v>
      </c>
      <c r="G80" s="20" t="s">
        <v>135</v>
      </c>
      <c r="H80" s="20"/>
      <c r="I80" s="20" t="s">
        <v>140</v>
      </c>
      <c r="J80" s="20" t="s">
        <v>149</v>
      </c>
      <c r="K80" s="20"/>
      <c r="L80" s="20"/>
      <c r="M80" s="20" t="s">
        <v>202</v>
      </c>
      <c r="N80" s="20" t="s">
        <v>185</v>
      </c>
      <c r="O80" s="20" t="s">
        <v>31</v>
      </c>
      <c r="P80" s="20" t="s">
        <v>135</v>
      </c>
      <c r="Q80" s="20" t="s">
        <v>17</v>
      </c>
      <c r="R80" s="20" t="s">
        <v>135</v>
      </c>
      <c r="S80" s="20" t="s">
        <v>51</v>
      </c>
      <c r="T80" s="20" t="s">
        <v>62</v>
      </c>
      <c r="U80" s="20" t="s">
        <v>158</v>
      </c>
      <c r="V80" s="20"/>
    </row>
    <row r="81" spans="2:22" ht="84">
      <c r="B81" s="20"/>
      <c r="C81" s="20" t="s">
        <v>176</v>
      </c>
      <c r="D81" s="20" t="s">
        <v>131</v>
      </c>
      <c r="E81" s="20" t="s">
        <v>184</v>
      </c>
      <c r="F81" s="20"/>
      <c r="G81" s="20"/>
      <c r="H81" s="20"/>
      <c r="I81" s="20" t="s">
        <v>141</v>
      </c>
      <c r="J81" s="20" t="s">
        <v>144</v>
      </c>
      <c r="K81" s="20"/>
      <c r="L81" s="20"/>
      <c r="M81" s="20"/>
      <c r="N81" s="20" t="s">
        <v>186</v>
      </c>
      <c r="O81" s="20" t="s">
        <v>32</v>
      </c>
      <c r="P81" s="20"/>
      <c r="Q81" s="20" t="s">
        <v>72</v>
      </c>
      <c r="R81" s="20"/>
      <c r="S81" s="20" t="s">
        <v>52</v>
      </c>
      <c r="T81" s="20" t="s">
        <v>68</v>
      </c>
      <c r="U81" s="20" t="s">
        <v>159</v>
      </c>
      <c r="V81" s="20"/>
    </row>
    <row r="82" spans="2:22" ht="16.8">
      <c r="B82" s="20"/>
      <c r="C82" s="20" t="s">
        <v>309</v>
      </c>
      <c r="D82" s="20"/>
      <c r="E82" s="20"/>
      <c r="F82" s="20"/>
      <c r="G82" s="20"/>
      <c r="H82" s="20"/>
      <c r="I82" s="20" t="s">
        <v>16</v>
      </c>
      <c r="J82" s="20" t="s">
        <v>147</v>
      </c>
      <c r="K82" s="20"/>
      <c r="L82" s="20"/>
      <c r="M82" s="20"/>
      <c r="N82" s="20" t="s">
        <v>206</v>
      </c>
      <c r="O82" s="20" t="s">
        <v>33</v>
      </c>
      <c r="P82" s="20"/>
      <c r="Q82" s="20" t="s">
        <v>73</v>
      </c>
      <c r="R82" s="20"/>
      <c r="S82" s="20" t="s">
        <v>53</v>
      </c>
      <c r="T82" s="20" t="s">
        <v>63</v>
      </c>
      <c r="U82" s="20"/>
      <c r="V82" s="20"/>
    </row>
    <row r="83" spans="2:22" ht="33.6">
      <c r="B83" s="20"/>
      <c r="C83" s="20"/>
      <c r="D83" s="20"/>
      <c r="E83" s="20"/>
      <c r="F83" s="20"/>
      <c r="G83" s="20"/>
      <c r="H83" s="20"/>
      <c r="I83" s="20"/>
      <c r="J83" s="20" t="s">
        <v>148</v>
      </c>
      <c r="K83" s="20"/>
      <c r="L83" s="20"/>
      <c r="M83" s="20"/>
      <c r="N83" s="20"/>
      <c r="O83" s="20" t="s">
        <v>34</v>
      </c>
      <c r="P83" s="20"/>
      <c r="Q83" s="20" t="s">
        <v>203</v>
      </c>
      <c r="R83" s="20"/>
      <c r="S83" s="20" t="s">
        <v>54</v>
      </c>
      <c r="T83" s="20" t="s">
        <v>64</v>
      </c>
      <c r="U83" s="20"/>
      <c r="V83" s="20"/>
    </row>
    <row r="84" spans="2:22" ht="33.6">
      <c r="B84" s="20"/>
      <c r="C84" s="20"/>
      <c r="D84" s="20"/>
      <c r="E84" s="20"/>
      <c r="F84" s="20"/>
      <c r="G84" s="20"/>
      <c r="H84" s="20"/>
      <c r="I84" s="20"/>
      <c r="J84" s="20" t="s">
        <v>145</v>
      </c>
      <c r="K84" s="20"/>
      <c r="L84" s="20"/>
      <c r="M84" s="20"/>
      <c r="N84" s="20"/>
      <c r="O84" s="20" t="s">
        <v>35</v>
      </c>
      <c r="P84" s="20"/>
      <c r="Q84" s="20"/>
      <c r="R84" s="20"/>
      <c r="S84" s="20" t="s">
        <v>55</v>
      </c>
      <c r="T84" s="20" t="s">
        <v>65</v>
      </c>
      <c r="U84" s="20"/>
      <c r="V84" s="20"/>
    </row>
    <row r="85" spans="2:22" ht="50.4">
      <c r="B85" s="20"/>
      <c r="C85" s="20"/>
      <c r="D85" s="20"/>
      <c r="E85" s="20"/>
      <c r="F85" s="20"/>
      <c r="G85" s="20"/>
      <c r="H85" s="20"/>
      <c r="I85" s="20"/>
      <c r="J85" s="20" t="s">
        <v>146</v>
      </c>
      <c r="K85" s="20"/>
      <c r="L85" s="20"/>
      <c r="M85" s="20"/>
      <c r="N85" s="20"/>
      <c r="O85" s="20" t="s">
        <v>36</v>
      </c>
      <c r="P85" s="20"/>
      <c r="Q85" s="20"/>
      <c r="R85" s="20"/>
      <c r="S85" s="20" t="s">
        <v>56</v>
      </c>
      <c r="T85" s="20" t="s">
        <v>66</v>
      </c>
      <c r="U85" s="20"/>
      <c r="V85" s="20"/>
    </row>
    <row r="86" spans="2:22" ht="33.6">
      <c r="B86" s="20"/>
      <c r="C86" s="20"/>
      <c r="D86" s="20"/>
      <c r="E86" s="20"/>
      <c r="F86" s="20"/>
      <c r="G86" s="20"/>
      <c r="H86" s="20"/>
      <c r="I86" s="20"/>
      <c r="J86" s="20" t="s">
        <v>150</v>
      </c>
      <c r="K86" s="20"/>
      <c r="L86" s="20"/>
      <c r="M86" s="20"/>
      <c r="N86" s="20"/>
      <c r="O86" s="20" t="s">
        <v>37</v>
      </c>
      <c r="P86" s="20"/>
      <c r="Q86" s="20"/>
      <c r="R86" s="20"/>
      <c r="S86" s="20" t="s">
        <v>57</v>
      </c>
      <c r="T86" s="20" t="s">
        <v>67</v>
      </c>
      <c r="U86" s="20"/>
      <c r="V86" s="20"/>
    </row>
    <row r="87" spans="2:22" ht="50.4">
      <c r="B87" s="20"/>
      <c r="C87" s="20"/>
      <c r="D87" s="20"/>
      <c r="E87" s="20"/>
      <c r="F87" s="20"/>
      <c r="G87" s="20"/>
      <c r="H87" s="20"/>
      <c r="I87" s="20"/>
      <c r="J87" s="20" t="s">
        <v>16</v>
      </c>
      <c r="K87" s="20"/>
      <c r="L87" s="20"/>
      <c r="M87" s="20"/>
      <c r="N87" s="20"/>
      <c r="O87" s="20" t="s">
        <v>38</v>
      </c>
      <c r="P87" s="20"/>
      <c r="Q87" s="20"/>
      <c r="R87" s="20"/>
      <c r="S87" s="20" t="s">
        <v>58</v>
      </c>
      <c r="T87" s="20"/>
      <c r="U87" s="20"/>
      <c r="V87" s="20"/>
    </row>
    <row r="88" spans="2:22" ht="50.4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 t="s">
        <v>39</v>
      </c>
      <c r="P88" s="20"/>
      <c r="Q88" s="20"/>
      <c r="R88" s="20"/>
      <c r="S88" s="20"/>
      <c r="T88" s="20"/>
      <c r="U88" s="20"/>
      <c r="V88" s="20"/>
    </row>
    <row r="89" spans="2:22" ht="33.6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 t="s">
        <v>40</v>
      </c>
      <c r="P89" s="20"/>
      <c r="Q89" s="20"/>
      <c r="R89" s="20"/>
      <c r="S89" s="20"/>
      <c r="T89" s="20"/>
      <c r="U89" s="20"/>
      <c r="V89" s="20"/>
    </row>
    <row r="90" spans="2:22" ht="16.8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 t="s">
        <v>41</v>
      </c>
      <c r="P90" s="20"/>
      <c r="Q90" s="20"/>
      <c r="R90" s="20"/>
      <c r="S90" s="20"/>
      <c r="T90" s="20"/>
      <c r="U90" s="20"/>
      <c r="V90" s="20"/>
    </row>
    <row r="91" spans="2:22" ht="33.6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 t="s">
        <v>42</v>
      </c>
      <c r="P91" s="20"/>
      <c r="Q91" s="20"/>
      <c r="R91" s="20"/>
      <c r="S91" s="20"/>
      <c r="T91" s="20"/>
      <c r="U91" s="20"/>
      <c r="V91" s="20"/>
    </row>
    <row r="92" spans="2:22" ht="33.6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 t="s">
        <v>43</v>
      </c>
      <c r="P92" s="20"/>
      <c r="Q92" s="20"/>
      <c r="R92" s="20"/>
      <c r="S92" s="20"/>
      <c r="T92" s="20"/>
      <c r="U92" s="20"/>
      <c r="V92" s="20"/>
    </row>
    <row r="93" spans="2:22" ht="33.6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 t="s">
        <v>69</v>
      </c>
      <c r="P93" s="20"/>
      <c r="Q93" s="20"/>
      <c r="R93" s="20"/>
      <c r="S93" s="20"/>
      <c r="T93" s="20"/>
      <c r="U93" s="20"/>
      <c r="V93" s="20"/>
    </row>
    <row r="94" spans="2:22" ht="16.8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 t="s">
        <v>44</v>
      </c>
      <c r="P94" s="20"/>
      <c r="Q94" s="20"/>
      <c r="R94" s="20"/>
      <c r="S94" s="20"/>
      <c r="T94" s="20"/>
      <c r="U94" s="20"/>
      <c r="V94" s="20"/>
    </row>
    <row r="95" spans="2:22" ht="16.8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 t="s">
        <v>45</v>
      </c>
      <c r="P95" s="20"/>
      <c r="Q95" s="20"/>
      <c r="R95" s="20"/>
      <c r="S95" s="20"/>
      <c r="T95" s="20"/>
      <c r="U95" s="20"/>
      <c r="V95" s="20"/>
    </row>
    <row r="96" spans="2:22" ht="33.6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 t="s">
        <v>46</v>
      </c>
      <c r="P96" s="20"/>
      <c r="Q96" s="20"/>
      <c r="R96" s="20"/>
      <c r="S96" s="20"/>
      <c r="T96" s="20"/>
      <c r="U96" s="20"/>
      <c r="V96" s="20"/>
    </row>
    <row r="97" spans="2:22" ht="33.6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 t="s">
        <v>47</v>
      </c>
      <c r="P97" s="20"/>
      <c r="Q97" s="20"/>
      <c r="R97" s="20"/>
      <c r="S97" s="20"/>
      <c r="T97" s="20"/>
      <c r="U97" s="20"/>
      <c r="V97" s="20"/>
    </row>
    <row r="98" spans="2:22">
      <c r="O98" s="1" t="s">
        <v>48</v>
      </c>
    </row>
  </sheetData>
  <dataValidations count="28">
    <dataValidation type="list" allowBlank="1" showInputMessage="1" showErrorMessage="1" sqref="F77:M77" xr:uid="{C5B14B99-E56E-4367-B139-5F1D854F6E73}">
      <formula1>#REF!</formula1>
    </dataValidation>
    <dataValidation type="list" allowBlank="1" showInputMessage="1" showErrorMessage="1" sqref="C77" xr:uid="{20288AFE-E087-4170-B92D-BD2066A18C80}">
      <formula1>$B$2:$B$5</formula1>
    </dataValidation>
    <dataValidation type="list" allowBlank="1" showInputMessage="1" showErrorMessage="1" sqref="U77" xr:uid="{CF39DD45-66AD-4A09-BE45-CF4247292039}">
      <formula1>$G$77:$G$80</formula1>
    </dataValidation>
    <dataValidation type="list" allowBlank="1" showInputMessage="1" showErrorMessage="1" sqref="E77" xr:uid="{49762F13-71FC-4960-A7A1-E6AC640EC0F5}">
      <formula1>$D$2:$D$5</formula1>
    </dataValidation>
    <dataValidation type="list" allowBlank="1" showInputMessage="1" showErrorMessage="1" sqref="D77" xr:uid="{85FC7EA5-C884-4B99-8E76-717A75974587}">
      <formula1>$C$2:$C$5</formula1>
    </dataValidation>
    <dataValidation type="list" allowBlank="1" showInputMessage="1" showErrorMessage="1" sqref="T77" xr:uid="{17102E9F-C5D3-4CD4-9729-262610462F06}">
      <formula1>$F$77:$F$85</formula1>
    </dataValidation>
    <dataValidation type="list" allowBlank="1" showInputMessage="1" showErrorMessage="1" sqref="S77" xr:uid="{84F12786-3681-4FF6-9491-6D6C4CDA3E9A}">
      <formula1>$E$77:$E$86</formula1>
    </dataValidation>
    <dataValidation type="list" allowBlank="1" showInputMessage="1" showErrorMessage="1" sqref="Q77" xr:uid="{D01114C3-103A-48FD-992A-A64524F7DF6F}">
      <formula1>$D$77:$D$81</formula1>
    </dataValidation>
    <dataValidation type="list" allowBlank="1" showInputMessage="1" showErrorMessage="1" sqref="P77" xr:uid="{1AA09C5A-0FA0-45F6-9A72-86EA30CBC680}">
      <formula1>$C$77:$C$78</formula1>
    </dataValidation>
    <dataValidation type="list" allowBlank="1" showInputMessage="1" showErrorMessage="1" sqref="O77" xr:uid="{6586B7AD-C001-433D-B670-ABA475650AFB}">
      <formula1>$B$77:$B$97</formula1>
    </dataValidation>
    <dataValidation type="list" allowBlank="1" showInputMessage="1" showErrorMessage="1" sqref="N77" xr:uid="{BD77B84C-6252-420E-9594-9088B2ED1186}">
      <formula1>$E$2:$E$5</formula1>
    </dataValidation>
    <dataValidation type="list" allowBlank="1" showInputMessage="1" showErrorMessage="1" sqref="B77:B80" xr:uid="{35AC5861-3360-49BB-80CC-0FCA89E0F696}">
      <formula1>$A$2:$A$4</formula1>
    </dataValidation>
    <dataValidation type="list" allowBlank="1" showInputMessage="1" showErrorMessage="1" sqref="C2" xr:uid="{7C15701F-2119-409B-AAD5-72D57157E92A}">
      <formula1>$B$78:$B$80</formula1>
    </dataValidation>
    <dataValidation type="list" allowBlank="1" showInputMessage="1" showErrorMessage="1" sqref="C3" xr:uid="{47641C31-2449-4ED3-8442-5FD21F5573F8}">
      <formula1>$C$78:$C$82</formula1>
    </dataValidation>
    <dataValidation type="list" allowBlank="1" showInputMessage="1" showErrorMessage="1" sqref="C4" xr:uid="{7CD1BA1B-DCB7-4EBE-81D2-E0113AE9059D}">
      <formula1>$D$78:$D$81</formula1>
    </dataValidation>
    <dataValidation type="list" allowBlank="1" showInputMessage="1" showErrorMessage="1" sqref="C5" xr:uid="{2B83AB65-F366-4827-B0E4-EE1E579A12E0}">
      <formula1>$E$78:$E$81</formula1>
    </dataValidation>
    <dataValidation type="list" allowBlank="1" showInputMessage="1" showErrorMessage="1" sqref="C6" xr:uid="{8BA16800-137A-41B9-A03A-6BD9B885014B}">
      <formula1>$F$78:$F$80</formula1>
    </dataValidation>
    <dataValidation type="list" allowBlank="1" showInputMessage="1" showErrorMessage="1" sqref="C7" xr:uid="{B2A259F0-0C3A-4E09-AA83-209A22972D91}">
      <formula1>$G$78:$G$80</formula1>
    </dataValidation>
    <dataValidation type="list" allowBlank="1" showInputMessage="1" showErrorMessage="1" sqref="C8" xr:uid="{99DFE85A-A77D-47A0-A593-E8D87F80D293}">
      <formula1>$H$78:$H$79</formula1>
    </dataValidation>
    <dataValidation type="list" allowBlank="1" showInputMessage="1" showErrorMessage="1" sqref="C9" xr:uid="{62480DC1-DDA2-4A42-99F2-F86526D0C19C}">
      <formula1>$I$78:$I$82</formula1>
    </dataValidation>
    <dataValidation type="list" allowBlank="1" showInputMessage="1" showErrorMessage="1" sqref="C10" xr:uid="{CB0FF02A-8DD3-43F5-A83C-7ADBE9AE8C06}">
      <formula1>$J$78:$J$87</formula1>
    </dataValidation>
    <dataValidation type="list" allowBlank="1" showInputMessage="1" showErrorMessage="1" sqref="C11" xr:uid="{A13EEE7B-A92F-4984-8459-8F376DC4BC2C}">
      <formula1>$K$78:$K$79</formula1>
    </dataValidation>
    <dataValidation type="list" allowBlank="1" showInputMessage="1" showErrorMessage="1" sqref="C12" xr:uid="{1F074853-7224-4ADA-8E98-0A566731FA09}">
      <formula1>$L$78:$L$79</formula1>
    </dataValidation>
    <dataValidation type="list" allowBlank="1" showInputMessage="1" showErrorMessage="1" sqref="C13" xr:uid="{57C8F681-BF91-4F17-8035-BA0F960E18B3}">
      <formula1>$M$78:$M$80</formula1>
    </dataValidation>
    <dataValidation type="list" allowBlank="1" showInputMessage="1" showErrorMessage="1" sqref="C14" xr:uid="{15BD33B9-1056-4B62-A0E8-456E155CE577}">
      <formula1>$N$78:$N$82</formula1>
    </dataValidation>
    <dataValidation type="list" allowBlank="1" showInputMessage="1" showErrorMessage="1" sqref="C15" xr:uid="{F37FFB60-300A-4EE9-ADCC-73721A13EAAB}">
      <formula1>$P$78:$P$80</formula1>
    </dataValidation>
    <dataValidation type="list" allowBlank="1" showInputMessage="1" showErrorMessage="1" sqref="C16" xr:uid="{7EEB49BB-EA7C-470D-B816-7947627B022D}">
      <formula1>$R$78:$R$80</formula1>
    </dataValidation>
    <dataValidation type="list" allowBlank="1" showInputMessage="1" showErrorMessage="1" sqref="C17" xr:uid="{3A0CF7DC-44BC-462D-AFB3-0A183F651024}">
      <formula1>$Q$78:$Q$83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AC33-534E-4875-8F96-F675E8702EDC}">
  <dimension ref="A1:J102"/>
  <sheetViews>
    <sheetView workbookViewId="0">
      <selection activeCell="B21" sqref="B21"/>
    </sheetView>
  </sheetViews>
  <sheetFormatPr defaultRowHeight="14.4"/>
  <cols>
    <col min="1" max="1" width="20.5546875" customWidth="1"/>
    <col min="2" max="2" width="41.33203125" customWidth="1"/>
    <col min="3" max="3" width="29.33203125" customWidth="1"/>
    <col min="5" max="5" width="27" customWidth="1"/>
    <col min="6" max="6" width="23.21875" customWidth="1"/>
    <col min="7" max="7" width="43.33203125" bestFit="1" customWidth="1"/>
    <col min="8" max="8" width="33" bestFit="1" customWidth="1"/>
    <col min="9" max="9" width="33.21875" bestFit="1" customWidth="1"/>
    <col min="10" max="10" width="23.5546875" bestFit="1" customWidth="1"/>
  </cols>
  <sheetData>
    <row r="1" spans="1:10">
      <c r="B1" t="s">
        <v>186</v>
      </c>
      <c r="C1" t="s">
        <v>330</v>
      </c>
    </row>
    <row r="2" spans="1:10">
      <c r="A2" s="54" t="s">
        <v>8</v>
      </c>
      <c r="B2" s="54" t="s">
        <v>240</v>
      </c>
      <c r="C2" s="55">
        <v>4000</v>
      </c>
      <c r="E2" t="s">
        <v>318</v>
      </c>
      <c r="G2" s="104" t="s">
        <v>271</v>
      </c>
      <c r="H2" s="104"/>
      <c r="I2" s="104"/>
      <c r="J2" s="104"/>
    </row>
    <row r="3" spans="1:10">
      <c r="A3" s="54"/>
      <c r="B3" s="54" t="s">
        <v>241</v>
      </c>
      <c r="C3" s="55">
        <v>48000</v>
      </c>
      <c r="G3" t="s">
        <v>282</v>
      </c>
      <c r="H3" t="s">
        <v>277</v>
      </c>
      <c r="I3" t="s">
        <v>283</v>
      </c>
      <c r="J3" t="s">
        <v>289</v>
      </c>
    </row>
    <row r="4" spans="1:10">
      <c r="C4" s="5"/>
      <c r="G4" t="s">
        <v>1</v>
      </c>
      <c r="H4" t="s">
        <v>1</v>
      </c>
      <c r="I4" t="s">
        <v>1</v>
      </c>
      <c r="J4" t="s">
        <v>1</v>
      </c>
    </row>
    <row r="5" spans="1:10" ht="15.6">
      <c r="A5" s="44" t="s">
        <v>76</v>
      </c>
      <c r="B5" s="83" t="s">
        <v>113</v>
      </c>
      <c r="C5" s="56">
        <v>1000</v>
      </c>
      <c r="E5" t="s">
        <v>336</v>
      </c>
      <c r="G5" t="s">
        <v>272</v>
      </c>
      <c r="H5" t="s">
        <v>278</v>
      </c>
      <c r="I5" t="s">
        <v>284</v>
      </c>
      <c r="J5" t="s">
        <v>284</v>
      </c>
    </row>
    <row r="6" spans="1:10">
      <c r="A6" s="93"/>
      <c r="B6" s="93"/>
      <c r="C6" s="93"/>
      <c r="G6" t="s">
        <v>273</v>
      </c>
      <c r="H6" t="s">
        <v>278</v>
      </c>
      <c r="I6" t="s">
        <v>284</v>
      </c>
      <c r="J6" t="s">
        <v>284</v>
      </c>
    </row>
    <row r="7" spans="1:10">
      <c r="A7" s="57" t="s">
        <v>242</v>
      </c>
      <c r="B7" s="57" t="s">
        <v>246</v>
      </c>
      <c r="C7" s="58">
        <f>SUM(C5/C2)</f>
        <v>0.25</v>
      </c>
      <c r="E7" t="s">
        <v>334</v>
      </c>
      <c r="G7" t="s">
        <v>274</v>
      </c>
      <c r="H7" t="s">
        <v>6</v>
      </c>
      <c r="I7" t="s">
        <v>285</v>
      </c>
      <c r="J7" t="s">
        <v>290</v>
      </c>
    </row>
    <row r="8" spans="1:10" ht="15.6">
      <c r="A8" s="57"/>
      <c r="B8" s="82" t="s">
        <v>245</v>
      </c>
      <c r="C8" s="58">
        <v>0.4</v>
      </c>
      <c r="E8" t="s">
        <v>335</v>
      </c>
      <c r="G8" t="s">
        <v>275</v>
      </c>
      <c r="H8" t="s">
        <v>279</v>
      </c>
      <c r="I8" t="s">
        <v>285</v>
      </c>
      <c r="J8" t="s">
        <v>291</v>
      </c>
    </row>
    <row r="9" spans="1:10">
      <c r="A9" s="57"/>
      <c r="B9" s="59"/>
      <c r="C9" s="57"/>
      <c r="G9" t="s">
        <v>276</v>
      </c>
      <c r="H9" t="s">
        <v>278</v>
      </c>
      <c r="I9" t="s">
        <v>286</v>
      </c>
      <c r="J9" t="s">
        <v>291</v>
      </c>
    </row>
    <row r="10" spans="1:10">
      <c r="G10" t="s">
        <v>18</v>
      </c>
      <c r="H10" t="s">
        <v>280</v>
      </c>
      <c r="I10" t="s">
        <v>287</v>
      </c>
      <c r="J10" t="s">
        <v>292</v>
      </c>
    </row>
    <row r="11" spans="1:10" ht="15.6">
      <c r="A11" s="63" t="s">
        <v>262</v>
      </c>
      <c r="B11" s="94" t="s">
        <v>331</v>
      </c>
      <c r="C11" s="70">
        <f>SUM((C2*C8)-C5)</f>
        <v>600</v>
      </c>
      <c r="E11" t="s">
        <v>333</v>
      </c>
      <c r="G11" t="s">
        <v>319</v>
      </c>
      <c r="H11" t="s">
        <v>281</v>
      </c>
      <c r="I11" t="s">
        <v>288</v>
      </c>
      <c r="J11" t="s">
        <v>292</v>
      </c>
    </row>
    <row r="12" spans="1:10">
      <c r="C12" s="64"/>
    </row>
    <row r="13" spans="1:10">
      <c r="A13" s="71"/>
      <c r="B13" s="72" t="s">
        <v>304</v>
      </c>
      <c r="C13" s="71">
        <v>30</v>
      </c>
    </row>
    <row r="14" spans="1:10">
      <c r="A14" s="71"/>
      <c r="B14" s="72" t="s">
        <v>305</v>
      </c>
      <c r="C14" s="77">
        <v>6.5000000000000002E-2</v>
      </c>
      <c r="E14" t="s">
        <v>332</v>
      </c>
    </row>
    <row r="15" spans="1:10" ht="15.6">
      <c r="A15" s="71" t="s">
        <v>263</v>
      </c>
      <c r="B15" s="81" t="s">
        <v>163</v>
      </c>
      <c r="C15" s="79">
        <f>PV(C14/12,C13*12,-C11)</f>
        <v>94926.491722243736</v>
      </c>
    </row>
    <row r="17" spans="1:9">
      <c r="A17" s="73"/>
      <c r="B17" s="75" t="s">
        <v>308</v>
      </c>
      <c r="C17" s="76">
        <v>0.9</v>
      </c>
    </row>
    <row r="18" spans="1:9">
      <c r="A18" s="73"/>
      <c r="B18" s="75" t="s">
        <v>306</v>
      </c>
      <c r="C18" s="74">
        <v>0.03</v>
      </c>
    </row>
    <row r="19" spans="1:9" ht="15.6">
      <c r="A19" s="73"/>
      <c r="B19" s="80" t="s">
        <v>77</v>
      </c>
      <c r="C19" s="78">
        <f>SUM(C15/C17)</f>
        <v>105473.87969138192</v>
      </c>
      <c r="I19" s="62"/>
    </row>
    <row r="20" spans="1:9" ht="28.8">
      <c r="A20" s="95" t="s">
        <v>307</v>
      </c>
      <c r="B20" s="96" t="s">
        <v>337</v>
      </c>
      <c r="C20" s="97">
        <f>SUM(C19-C15)+(C19*C18)</f>
        <v>13711.604359879646</v>
      </c>
      <c r="I20" s="62"/>
    </row>
    <row r="27" spans="1:9">
      <c r="E27" s="60" t="s">
        <v>243</v>
      </c>
      <c r="F27" s="61" t="s">
        <v>247</v>
      </c>
      <c r="G27" s="60" t="s">
        <v>264</v>
      </c>
      <c r="H27" s="60" t="s">
        <v>269</v>
      </c>
      <c r="I27" s="60" t="s">
        <v>270</v>
      </c>
    </row>
    <row r="28" spans="1:9">
      <c r="E28" t="s">
        <v>265</v>
      </c>
      <c r="F28" s="50">
        <v>0.55000000000000004</v>
      </c>
      <c r="G28" s="50">
        <v>0.5</v>
      </c>
      <c r="H28" s="33">
        <v>15</v>
      </c>
      <c r="I28" s="62">
        <v>0.04</v>
      </c>
    </row>
    <row r="29" spans="1:9">
      <c r="E29" t="s">
        <v>266</v>
      </c>
      <c r="F29" s="50">
        <v>0.5</v>
      </c>
      <c r="G29" s="50">
        <v>0.75</v>
      </c>
      <c r="H29" s="33">
        <v>25</v>
      </c>
      <c r="I29" s="62">
        <v>4.4999999999999998E-2</v>
      </c>
    </row>
    <row r="30" spans="1:9">
      <c r="E30" t="s">
        <v>267</v>
      </c>
      <c r="F30" s="50">
        <v>0.45</v>
      </c>
      <c r="G30" s="50">
        <v>0.8</v>
      </c>
      <c r="H30" s="33">
        <v>30</v>
      </c>
      <c r="I30" s="62">
        <v>0.05</v>
      </c>
    </row>
    <row r="31" spans="1:9">
      <c r="E31" t="s">
        <v>268</v>
      </c>
      <c r="F31" s="50">
        <v>0.4</v>
      </c>
      <c r="G31" s="50">
        <v>0.9</v>
      </c>
      <c r="H31" s="33">
        <v>40</v>
      </c>
      <c r="I31" s="62">
        <v>5.5E-2</v>
      </c>
    </row>
    <row r="32" spans="1:9">
      <c r="F32" s="33"/>
      <c r="G32" s="50">
        <v>0.91</v>
      </c>
      <c r="H32" s="33"/>
      <c r="I32" s="62">
        <v>0.06</v>
      </c>
    </row>
    <row r="33" spans="7:9">
      <c r="G33" s="50">
        <v>1</v>
      </c>
      <c r="H33" s="33"/>
      <c r="I33" s="62">
        <v>6.5000000000000002E-2</v>
      </c>
    </row>
    <row r="34" spans="7:9">
      <c r="G34" s="50">
        <v>1.1000000000000001</v>
      </c>
      <c r="H34" s="33"/>
      <c r="I34" s="62">
        <v>7.0000000000000007E-2</v>
      </c>
    </row>
    <row r="35" spans="7:9">
      <c r="G35" s="50"/>
      <c r="I35" s="62">
        <v>7.4999999999999997E-2</v>
      </c>
    </row>
    <row r="36" spans="7:9">
      <c r="I36" s="62">
        <v>0.08</v>
      </c>
    </row>
    <row r="37" spans="7:9">
      <c r="I37" s="62">
        <v>8.5000000000000006E-2</v>
      </c>
    </row>
    <row r="38" spans="7:9">
      <c r="I38" s="62">
        <v>0.09</v>
      </c>
    </row>
    <row r="39" spans="7:9">
      <c r="I39" s="62">
        <v>9.5000000000000001E-2</v>
      </c>
    </row>
    <row r="40" spans="7:9">
      <c r="I40" s="62">
        <v>0.1</v>
      </c>
    </row>
    <row r="41" spans="7:9">
      <c r="I41" s="62"/>
    </row>
    <row r="42" spans="7:9">
      <c r="I42" s="62"/>
    </row>
    <row r="43" spans="7:9">
      <c r="I43" s="62"/>
    </row>
    <row r="51" spans="2:9">
      <c r="I51" s="62"/>
    </row>
    <row r="59" spans="2:9">
      <c r="B59" s="4" t="s">
        <v>77</v>
      </c>
      <c r="C59" s="5">
        <v>200000</v>
      </c>
    </row>
    <row r="60" spans="2:9">
      <c r="B60" s="4" t="s">
        <v>79</v>
      </c>
      <c r="C60" s="5">
        <v>210000</v>
      </c>
    </row>
    <row r="61" spans="2:9">
      <c r="B61" s="4" t="s">
        <v>81</v>
      </c>
      <c r="C61" s="5">
        <v>4000</v>
      </c>
    </row>
    <row r="62" spans="2:9">
      <c r="B62" s="4" t="s">
        <v>83</v>
      </c>
      <c r="C62" s="8">
        <v>0.1</v>
      </c>
    </row>
    <row r="63" spans="2:9">
      <c r="B63" s="4" t="s">
        <v>85</v>
      </c>
      <c r="C63" s="5">
        <v>0</v>
      </c>
    </row>
    <row r="64" spans="2:9">
      <c r="B64" s="4" t="s">
        <v>112</v>
      </c>
      <c r="C64" s="5">
        <v>3600</v>
      </c>
    </row>
    <row r="65" spans="2:3">
      <c r="B65" s="10" t="s">
        <v>87</v>
      </c>
      <c r="C65" s="5">
        <v>3000</v>
      </c>
    </row>
    <row r="66" spans="2:3">
      <c r="B66" s="10" t="s">
        <v>89</v>
      </c>
      <c r="C66" s="5">
        <v>1200</v>
      </c>
    </row>
    <row r="67" spans="2:3">
      <c r="B67" s="10" t="s">
        <v>90</v>
      </c>
      <c r="C67" s="5">
        <v>2000</v>
      </c>
    </row>
    <row r="68" spans="2:3">
      <c r="B68" s="10" t="s">
        <v>91</v>
      </c>
      <c r="C68" s="5">
        <v>0</v>
      </c>
    </row>
    <row r="69" spans="2:3">
      <c r="B69" s="10" t="s">
        <v>92</v>
      </c>
      <c r="C69" s="5">
        <v>1000</v>
      </c>
    </row>
    <row r="70" spans="2:3">
      <c r="B70" s="11" t="s">
        <v>93</v>
      </c>
      <c r="C70" s="5">
        <v>150000</v>
      </c>
    </row>
    <row r="71" spans="2:3">
      <c r="B71" s="11" t="s">
        <v>95</v>
      </c>
      <c r="C71" s="13">
        <v>6.5000000000000002E-2</v>
      </c>
    </row>
    <row r="72" spans="2:3">
      <c r="B72" s="11" t="s">
        <v>97</v>
      </c>
      <c r="C72">
        <v>30</v>
      </c>
    </row>
    <row r="73" spans="2:3">
      <c r="B73" s="14" t="s">
        <v>99</v>
      </c>
      <c r="C73">
        <v>5</v>
      </c>
    </row>
    <row r="74" spans="2:3">
      <c r="B74" s="14" t="s">
        <v>100</v>
      </c>
      <c r="C74" s="8">
        <v>7.0000000000000007E-2</v>
      </c>
    </row>
    <row r="75" spans="2:3">
      <c r="B75" s="14" t="s">
        <v>102</v>
      </c>
      <c r="C75" s="8">
        <v>0.08</v>
      </c>
    </row>
    <row r="76" spans="2:3">
      <c r="B76" s="14" t="s">
        <v>103</v>
      </c>
      <c r="C76" s="8">
        <v>0.03</v>
      </c>
    </row>
    <row r="77" spans="2:3">
      <c r="B77" s="15" t="s">
        <v>105</v>
      </c>
      <c r="C77" s="8">
        <v>0.08</v>
      </c>
    </row>
    <row r="81" spans="2:6" ht="28.8">
      <c r="B81" s="16" t="s">
        <v>106</v>
      </c>
      <c r="C81" s="5">
        <f>SUM(C100/12)</f>
        <v>600</v>
      </c>
      <c r="E81" s="29" t="s">
        <v>162</v>
      </c>
      <c r="F81" s="30">
        <v>850</v>
      </c>
    </row>
    <row r="82" spans="2:6">
      <c r="E82" s="29" t="s">
        <v>194</v>
      </c>
      <c r="F82" s="31">
        <v>900</v>
      </c>
    </row>
    <row r="83" spans="2:6">
      <c r="B83" t="s">
        <v>114</v>
      </c>
      <c r="E83" s="29" t="s">
        <v>198</v>
      </c>
      <c r="F83" s="32">
        <v>150000</v>
      </c>
    </row>
    <row r="84" spans="2:6">
      <c r="B84" s="19" t="s">
        <v>163</v>
      </c>
    </row>
    <row r="86" spans="2:6">
      <c r="B86" s="6" t="s">
        <v>78</v>
      </c>
      <c r="C86">
        <v>1</v>
      </c>
    </row>
    <row r="87" spans="2:6">
      <c r="B87" s="6" t="s">
        <v>80</v>
      </c>
      <c r="C87" s="5">
        <v>150000</v>
      </c>
    </row>
    <row r="88" spans="2:6">
      <c r="B88" s="6" t="s">
        <v>82</v>
      </c>
      <c r="C88" s="7">
        <f>PMT(C71/12,C72*12,-C70)</f>
        <v>948.10203523944563</v>
      </c>
    </row>
    <row r="89" spans="2:6">
      <c r="B89" s="6" t="s">
        <v>84</v>
      </c>
      <c r="C89" s="9">
        <f>C87*C71/12</f>
        <v>812.5</v>
      </c>
    </row>
    <row r="90" spans="2:6">
      <c r="B90" s="6" t="s">
        <v>86</v>
      </c>
      <c r="C90" s="7">
        <f>C88-C89</f>
        <v>135.60203523944563</v>
      </c>
    </row>
    <row r="91" spans="2:6">
      <c r="B91" s="6" t="s">
        <v>88</v>
      </c>
      <c r="C91" s="9">
        <f>C87-C90</f>
        <v>149864.39796476054</v>
      </c>
    </row>
    <row r="96" spans="2:6">
      <c r="B96" s="12" t="s">
        <v>94</v>
      </c>
      <c r="C96" s="5">
        <f>C61*12</f>
        <v>48000</v>
      </c>
    </row>
    <row r="97" spans="2:3">
      <c r="B97" s="12" t="s">
        <v>96</v>
      </c>
      <c r="C97" s="5">
        <f>C96*C62</f>
        <v>4800</v>
      </c>
    </row>
    <row r="98" spans="2:3">
      <c r="B98" s="12" t="s">
        <v>98</v>
      </c>
      <c r="C98" s="5">
        <f>C96-C97</f>
        <v>43200</v>
      </c>
    </row>
    <row r="100" spans="2:3">
      <c r="B100" s="12" t="s">
        <v>101</v>
      </c>
      <c r="C100" s="5">
        <f>SUM(C65:C69)</f>
        <v>7200</v>
      </c>
    </row>
    <row r="102" spans="2:3">
      <c r="B102" s="12" t="s">
        <v>104</v>
      </c>
      <c r="C102" s="5">
        <f>C98-C100</f>
        <v>36000</v>
      </c>
    </row>
  </sheetData>
  <mergeCells count="1">
    <mergeCell ref="G2:J2"/>
  </mergeCells>
  <dataValidations count="7">
    <dataValidation type="list" allowBlank="1" showInputMessage="1" showErrorMessage="1" sqref="C72" xr:uid="{A5DC2E11-757F-4D87-B392-D64E5A3A6E7A}">
      <formula1>$D$70:$D$71</formula1>
    </dataValidation>
    <dataValidation type="list" allowBlank="1" showInputMessage="1" showErrorMessage="1" sqref="E27" xr:uid="{7BCBC13B-C87E-4757-B480-586593018B57}">
      <formula1>$G$28:$G$33</formula1>
    </dataValidation>
    <dataValidation type="list" allowBlank="1" showInputMessage="1" showErrorMessage="1" sqref="C9" xr:uid="{994096E4-02ED-4F4A-9CE3-C520ECA149D5}">
      <formula1>$E$28:$E$31</formula1>
    </dataValidation>
    <dataValidation type="list" allowBlank="1" showInputMessage="1" showErrorMessage="1" sqref="C13" xr:uid="{F74E1FB6-CB1A-41D5-8D43-FB289931C8C4}">
      <formula1>$H$28:$H$31</formula1>
    </dataValidation>
    <dataValidation type="list" allowBlank="1" showInputMessage="1" showErrorMessage="1" sqref="C14" xr:uid="{1E015110-5D31-4068-A7E6-D8CBEDF65F8B}">
      <formula1>$I$28:$I$40</formula1>
    </dataValidation>
    <dataValidation type="list" allowBlank="1" showInputMessage="1" showErrorMessage="1" sqref="C8" xr:uid="{F3B8B79A-40C6-471A-B6D5-FC76BE9B6A6E}">
      <formula1>$F$28:$F$31</formula1>
    </dataValidation>
    <dataValidation type="list" allowBlank="1" showInputMessage="1" showErrorMessage="1" sqref="C17" xr:uid="{0FF8D5CB-9D71-4A04-84A9-5A8C5B94D47F}">
      <formula1>$G$28:$G$34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99D-1C09-4D5E-B0BE-B5CB1A24DE6A}">
  <dimension ref="A1:K50"/>
  <sheetViews>
    <sheetView tabSelected="1" workbookViewId="0">
      <selection activeCell="C4" sqref="C4"/>
    </sheetView>
  </sheetViews>
  <sheetFormatPr defaultRowHeight="14.4"/>
  <cols>
    <col min="1" max="1" width="16.44140625" customWidth="1"/>
    <col min="2" max="2" width="39.21875" customWidth="1"/>
    <col min="3" max="3" width="44.88671875" customWidth="1"/>
    <col min="4" max="4" width="39.88671875" customWidth="1"/>
    <col min="5" max="5" width="22.88671875" customWidth="1"/>
    <col min="6" max="6" width="14.6640625" customWidth="1"/>
  </cols>
  <sheetData>
    <row r="1" spans="1:11" ht="21">
      <c r="A1" s="42"/>
      <c r="B1" s="42" t="s">
        <v>220</v>
      </c>
      <c r="C1" s="42" t="s">
        <v>221</v>
      </c>
      <c r="D1" s="42" t="s">
        <v>236</v>
      </c>
    </row>
    <row r="2" spans="1:11">
      <c r="A2" s="46" t="s">
        <v>5</v>
      </c>
      <c r="B2" s="46" t="s">
        <v>70</v>
      </c>
      <c r="C2" t="s">
        <v>324</v>
      </c>
      <c r="D2" t="s">
        <v>237</v>
      </c>
    </row>
    <row r="3" spans="1:11">
      <c r="A3" s="46" t="s">
        <v>5</v>
      </c>
      <c r="B3" s="46" t="s">
        <v>71</v>
      </c>
      <c r="C3" t="s">
        <v>325</v>
      </c>
      <c r="D3" t="s">
        <v>237</v>
      </c>
    </row>
    <row r="4" spans="1:11">
      <c r="A4" s="46" t="s">
        <v>5</v>
      </c>
      <c r="B4" s="46" t="s">
        <v>17</v>
      </c>
      <c r="C4" t="s">
        <v>326</v>
      </c>
      <c r="D4" t="s">
        <v>237</v>
      </c>
    </row>
    <row r="5" spans="1:11">
      <c r="A5" s="46" t="s">
        <v>5</v>
      </c>
      <c r="B5" s="46" t="s">
        <v>72</v>
      </c>
      <c r="C5" t="s">
        <v>327</v>
      </c>
      <c r="D5" t="s">
        <v>237</v>
      </c>
    </row>
    <row r="6" spans="1:11">
      <c r="A6" s="46" t="s">
        <v>5</v>
      </c>
      <c r="B6" s="46" t="s">
        <v>73</v>
      </c>
      <c r="C6" t="s">
        <v>328</v>
      </c>
      <c r="D6" t="s">
        <v>237</v>
      </c>
    </row>
    <row r="7" spans="1:11">
      <c r="A7" s="46" t="s">
        <v>5</v>
      </c>
      <c r="B7" s="46" t="s">
        <v>203</v>
      </c>
      <c r="C7" t="s">
        <v>329</v>
      </c>
      <c r="D7" t="s">
        <v>237</v>
      </c>
    </row>
    <row r="8" spans="1:11">
      <c r="A8" t="s">
        <v>136</v>
      </c>
      <c r="C8" t="str">
        <f>IF(OR(Profile!C8="Yes",Profile!C9="&lt;1 Year"),"Credit Event-financing only under legal exception","")</f>
        <v/>
      </c>
      <c r="D8" t="s">
        <v>164</v>
      </c>
    </row>
    <row r="9" spans="1:11">
      <c r="A9" t="s">
        <v>302</v>
      </c>
      <c r="C9" t="str">
        <f>IF(Profile!C5="No","Valid ID required to proceed","")</f>
        <v/>
      </c>
      <c r="D9" t="s">
        <v>164</v>
      </c>
    </row>
    <row r="10" spans="1:11">
      <c r="A10" t="s">
        <v>132</v>
      </c>
      <c r="B10" s="46" t="s">
        <v>303</v>
      </c>
      <c r="C10" t="str">
        <f>IF(OR(Profile!C4="Non-Permanent Resident Alien",Profile!C4="Foreign National"),"May require specialized loan program","")</f>
        <v/>
      </c>
      <c r="D10" t="s">
        <v>164</v>
      </c>
    </row>
    <row r="11" spans="1:11">
      <c r="A11" t="s">
        <v>153</v>
      </c>
      <c r="C11" t="str">
        <f>IF(Profile!C10="Wisconsin","Spousal rights may impact title/loan structure","")</f>
        <v>Spousal rights may impact title/loan structure</v>
      </c>
      <c r="D11" t="s">
        <v>164</v>
      </c>
    </row>
    <row r="12" spans="1:11">
      <c r="A12" t="s">
        <v>214</v>
      </c>
      <c r="B12" t="s">
        <v>301</v>
      </c>
    </row>
    <row r="14" spans="1:11">
      <c r="A14" s="44" t="s">
        <v>222</v>
      </c>
      <c r="B14" s="44" t="s">
        <v>223</v>
      </c>
      <c r="C14" s="45" t="str">
        <f>IF(AND(Profile!C10="Texas",Profile!C6="Married"),"Acknowledgment of Debt by Non-Mortgaging Spouse","")</f>
        <v/>
      </c>
      <c r="D14" s="44" t="s">
        <v>164</v>
      </c>
      <c r="E14" s="43" t="str">
        <f>IF(Profile!E10="Texas","Acknowledgment of Debt by Non-Mortgaging Spouse","")</f>
        <v/>
      </c>
      <c r="F14" s="43" t="str">
        <f>IF(Profile!F10="Texas","Acknowledgment of Debt by Non-Mortgaging Spouse","")</f>
        <v/>
      </c>
      <c r="G14" s="43" t="str">
        <f>IF(Profile!G10="Texas","Acknowledgment of Debt by Non-Mortgaging Spouse","")</f>
        <v/>
      </c>
      <c r="H14" s="43" t="str">
        <f>IF(Profile!H10="Texas","Acknowledgment of Debt by Non-Mortgaging Spouse","")</f>
        <v/>
      </c>
      <c r="I14" s="43" t="str">
        <f>IF(Profile!I10="Texas","Acknowledgment of Debt by Non-Mortgaging Spouse","")</f>
        <v/>
      </c>
      <c r="J14" s="43" t="str">
        <f>IF(Profile!J10="Texas","Acknowledgment of Debt by Non-Mortgaging Spouse","")</f>
        <v/>
      </c>
      <c r="K14" s="43" t="str">
        <f>IF(Profile!K10="Texas","Acknowledgment of Debt by Non-Mortgaging Spouse","")</f>
        <v/>
      </c>
    </row>
    <row r="15" spans="1:11">
      <c r="A15" s="44" t="s">
        <v>222</v>
      </c>
      <c r="B15" s="44" t="s">
        <v>224</v>
      </c>
      <c r="C15" s="45" t="str">
        <f>IF(AND(Profile!C10="Wisconsin",Profile!C6="Married"),"Acknowledgment of Debt by Non-Mortgaging Spouse","")</f>
        <v>Acknowledgment of Debt by Non-Mortgaging Spouse</v>
      </c>
      <c r="D15" s="44" t="s">
        <v>164</v>
      </c>
    </row>
    <row r="16" spans="1:11">
      <c r="A16" s="44" t="s">
        <v>222</v>
      </c>
      <c r="B16" s="44" t="s">
        <v>225</v>
      </c>
      <c r="C16" s="45" t="str">
        <f>IF(AND(Profile!C10="Arizona",Profile!C6="Married"),"Acknowledgment of Debt by Non-Mortgaging Spouse","")</f>
        <v/>
      </c>
      <c r="D16" s="44" t="s">
        <v>164</v>
      </c>
    </row>
    <row r="17" spans="1:4">
      <c r="A17" s="44" t="s">
        <v>222</v>
      </c>
      <c r="B17" s="44" t="s">
        <v>226</v>
      </c>
      <c r="C17" s="45" t="str">
        <f>IF(AND(Profile!C10="California",Profile!C6="Married"),"Acknowledgment of Debt by Non-Mortgaging Spouse","")</f>
        <v/>
      </c>
      <c r="D17" s="44" t="s">
        <v>164</v>
      </c>
    </row>
    <row r="18" spans="1:4">
      <c r="A18" s="44" t="s">
        <v>222</v>
      </c>
      <c r="B18" s="44" t="s">
        <v>227</v>
      </c>
      <c r="C18" s="45" t="str">
        <f>IF(AND(Profile!C10="Louisiana",Profile!C6="Married"),"Acknowledgment of Debt by Non-Mortgaging Spouse","")</f>
        <v/>
      </c>
      <c r="D18" s="44" t="s">
        <v>164</v>
      </c>
    </row>
    <row r="19" spans="1:4">
      <c r="A19" s="44" t="s">
        <v>222</v>
      </c>
      <c r="B19" s="44" t="s">
        <v>228</v>
      </c>
      <c r="C19" s="45" t="str">
        <f>IF(AND(Profile!C10="Idaho",Profile!C6="Married"),"Acknowledgment of Debt by Non-Mortgaging Spouse","")</f>
        <v/>
      </c>
      <c r="D19" s="44" t="s">
        <v>164</v>
      </c>
    </row>
    <row r="20" spans="1:4">
      <c r="A20" s="44" t="s">
        <v>222</v>
      </c>
      <c r="B20" s="44" t="s">
        <v>229</v>
      </c>
      <c r="C20" s="45" t="str">
        <f>IF(AND(Profile!C10="Washington",Profile!C6="Married"),"Acknowledgment of Debt by Non-Mortgaging Spouse","")</f>
        <v/>
      </c>
      <c r="D20" s="44" t="s">
        <v>164</v>
      </c>
    </row>
    <row r="21" spans="1:4">
      <c r="A21" s="44" t="s">
        <v>222</v>
      </c>
      <c r="B21" s="44" t="s">
        <v>230</v>
      </c>
      <c r="C21" s="45" t="str">
        <f>IF(AND(Profile!C10="New Mexico",Profile!C6="Married"),"Acknowledgment of Debt by Non-Mortgaging Spouse","")</f>
        <v/>
      </c>
      <c r="D21" s="44" t="s">
        <v>164</v>
      </c>
    </row>
    <row r="22" spans="1:4">
      <c r="A22" s="44" t="s">
        <v>222</v>
      </c>
      <c r="B22" s="44" t="s">
        <v>231</v>
      </c>
      <c r="C22" s="45" t="str">
        <f>IF(AND(Profile!C10="Nevada",Profile!C6="Married"),"Acknowledgment of Debt by Non-Mortgaging Spouse","")</f>
        <v/>
      </c>
      <c r="D22" s="44" t="s">
        <v>164</v>
      </c>
    </row>
    <row r="23" spans="1:4">
      <c r="A23" s="44" t="s">
        <v>154</v>
      </c>
      <c r="B23" s="44" t="s">
        <v>323</v>
      </c>
      <c r="C23" s="44" t="str">
        <f>IF(Profile!C12="Yes","Require Entity Organizing Documents","")</f>
        <v/>
      </c>
      <c r="D23" s="44" t="s">
        <v>164</v>
      </c>
    </row>
    <row r="24" spans="1:4">
      <c r="A24" s="47" t="s">
        <v>20</v>
      </c>
      <c r="B24" s="47" t="s">
        <v>238</v>
      </c>
      <c r="C24" s="47" t="str">
        <f>IF(Profile!P80="No","Missing Paystubs","Applicant Must Provide or Pay for Verification")</f>
        <v>Applicant Must Provide or Pay for Verification</v>
      </c>
      <c r="D24" s="47" t="s">
        <v>9</v>
      </c>
    </row>
    <row r="25" spans="1:4">
      <c r="A25" s="48" t="s">
        <v>4</v>
      </c>
      <c r="B25" s="48" t="s">
        <v>239</v>
      </c>
      <c r="C25" s="49" t="str">
        <f>IF(Profile!C15="Yes","Most Recent 30 days ❌ Needed","")</f>
        <v>Most Recent 30 days ❌ Needed</v>
      </c>
      <c r="D25" s="47" t="s">
        <v>9</v>
      </c>
    </row>
    <row r="26" spans="1:4">
      <c r="A26" s="47" t="s">
        <v>15</v>
      </c>
      <c r="B26" s="47" t="s">
        <v>300</v>
      </c>
      <c r="C26" s="47" t="str">
        <f>IF(OR(Profile!C15="No",(Profile!C15="Unsure")), "Tax Returns or Alt Document Program","")</f>
        <v/>
      </c>
      <c r="D26" s="47" t="s">
        <v>9</v>
      </c>
    </row>
    <row r="27" spans="1:4">
      <c r="A27" s="48" t="s">
        <v>22</v>
      </c>
      <c r="B27" s="48"/>
      <c r="C27" s="49" t="str">
        <f>IF(Profile!C14="Multiple Sources","❌ Documentation Needed","")</f>
        <v/>
      </c>
      <c r="D27" s="47" t="s">
        <v>9</v>
      </c>
    </row>
    <row r="28" spans="1:4">
      <c r="A28" s="48" t="s">
        <v>23</v>
      </c>
      <c r="B28" s="48" t="s">
        <v>299</v>
      </c>
      <c r="C28" s="49" t="str">
        <f>IF(Profile!C16="Yes","✅ Available","❌ Needed")</f>
        <v>✅ Available</v>
      </c>
      <c r="D28" s="47" t="s">
        <v>9</v>
      </c>
    </row>
    <row r="29" spans="1:4">
      <c r="A29" s="47" t="s">
        <v>74</v>
      </c>
      <c r="B29" s="47" t="s">
        <v>233</v>
      </c>
      <c r="C29" s="47" t="str">
        <f>IF(Profile!C16="Yes", "Verification of Asset","")</f>
        <v>Verification of Asset</v>
      </c>
      <c r="D29" s="47" t="s">
        <v>9</v>
      </c>
    </row>
    <row r="30" spans="1:4">
      <c r="A30" s="47" t="s">
        <v>74</v>
      </c>
      <c r="B30" s="47" t="s">
        <v>234</v>
      </c>
      <c r="C30" s="47" t="str">
        <f>IF(Profile!C16="No", "Need Minimum Borrower Investment or Reserves","")</f>
        <v/>
      </c>
      <c r="D30" s="47" t="s">
        <v>9</v>
      </c>
    </row>
    <row r="31" spans="1:4">
      <c r="A31" s="47" t="s">
        <v>74</v>
      </c>
      <c r="B31" s="47" t="s">
        <v>235</v>
      </c>
      <c r="C31" s="47"/>
      <c r="D31" s="47" t="s">
        <v>9</v>
      </c>
    </row>
    <row r="32" spans="1:4">
      <c r="A32" s="47" t="s">
        <v>294</v>
      </c>
      <c r="B32" s="47" t="s">
        <v>295</v>
      </c>
      <c r="C32" s="47" t="str">
        <f>IF(Profile!C3="Co-Borrower (on Loan)","Include income &amp; debts for both applicants","")</f>
        <v/>
      </c>
      <c r="D32" s="47" t="s">
        <v>9</v>
      </c>
    </row>
    <row r="33" spans="1:4">
      <c r="A33" s="47" t="s">
        <v>294</v>
      </c>
      <c r="B33" s="47" t="s">
        <v>296</v>
      </c>
      <c r="C33" s="47" t="b">
        <f>IF(Profile!C3="Non-Occupant Co-Borrower","Apply Together, Programs Vary")</f>
        <v>0</v>
      </c>
      <c r="D33" s="47"/>
    </row>
    <row r="34" spans="1:4">
      <c r="A34" s="47" t="s">
        <v>294</v>
      </c>
      <c r="B34" s="47" t="s">
        <v>297</v>
      </c>
      <c r="C34" s="47" t="str">
        <f>IF(AND(Profile!C6="Married",Profile!C7="No"), "Need Acknowledgment &amp; Debts of Non-Mortgaging Spouse","")</f>
        <v/>
      </c>
      <c r="D34" s="47" t="s">
        <v>9</v>
      </c>
    </row>
    <row r="35" spans="1:4">
      <c r="A35" s="47" t="s">
        <v>294</v>
      </c>
      <c r="B35" s="47" t="s">
        <v>175</v>
      </c>
      <c r="C35" s="47" t="str">
        <f>IF(Profile!C3="Gift Funds Only","Helps Assets Only")</f>
        <v>Helps Assets Only</v>
      </c>
      <c r="D35" s="47" t="s">
        <v>9</v>
      </c>
    </row>
    <row r="36" spans="1:4">
      <c r="A36" s="47" t="s">
        <v>294</v>
      </c>
      <c r="B36" s="47" t="s">
        <v>298</v>
      </c>
      <c r="C36" s="47" t="b">
        <f>IF(Profile!C3="Guarantor / Co-Signer","Apply Together / Programs Vary")</f>
        <v>0</v>
      </c>
      <c r="D36" s="47"/>
    </row>
    <row r="37" spans="1:4">
      <c r="A37" s="47" t="s">
        <v>75</v>
      </c>
      <c r="B37" s="47" t="s">
        <v>232</v>
      </c>
      <c r="C37" s="47" t="str">
        <f>IF(Profile!C13="Own 1+ Units","Require REO Schedule","")</f>
        <v/>
      </c>
      <c r="D37" s="47" t="s">
        <v>9</v>
      </c>
    </row>
    <row r="38" spans="1:4">
      <c r="B38" s="69" t="s">
        <v>322</v>
      </c>
      <c r="C38" t="str">
        <f>IF(AND(Profile!C2="Entity",Profile!C12="Yes"),"Need Members ID; May Require Guaranty","")</f>
        <v/>
      </c>
    </row>
    <row r="41" spans="1:4" ht="18">
      <c r="B41" s="3" t="s">
        <v>24</v>
      </c>
    </row>
    <row r="42" spans="1:4">
      <c r="B42" t="s">
        <v>302</v>
      </c>
      <c r="C42" t="s">
        <v>316</v>
      </c>
    </row>
    <row r="43" spans="1:4">
      <c r="B43" s="2" t="str">
        <f>Logic!A24</f>
        <v>Paystub Flag</v>
      </c>
    </row>
    <row r="44" spans="1:4">
      <c r="B44" s="2" t="str">
        <f>Logic!A26</f>
        <v>Self-Employed</v>
      </c>
    </row>
    <row r="45" spans="1:4">
      <c r="B45" t="s">
        <v>248</v>
      </c>
      <c r="C45" t="s">
        <v>249</v>
      </c>
    </row>
    <row r="46" spans="1:4">
      <c r="B46" t="s">
        <v>250</v>
      </c>
      <c r="C46" t="s">
        <v>293</v>
      </c>
    </row>
    <row r="47" spans="1:4">
      <c r="B47" t="s">
        <v>251</v>
      </c>
      <c r="C47" t="s">
        <v>252</v>
      </c>
    </row>
    <row r="48" spans="1:4">
      <c r="B48" t="s">
        <v>253</v>
      </c>
      <c r="C48" t="s">
        <v>254</v>
      </c>
    </row>
    <row r="49" spans="2:3">
      <c r="B49" t="s">
        <v>255</v>
      </c>
      <c r="C49" t="s">
        <v>256</v>
      </c>
    </row>
    <row r="50" spans="2:3">
      <c r="B50" t="s">
        <v>317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A72-E4AD-44D2-909A-A105FB9689CC}">
  <dimension ref="A1:D47"/>
  <sheetViews>
    <sheetView view="pageLayout" zoomScaleNormal="100" workbookViewId="0">
      <selection activeCell="C14" sqref="C14"/>
    </sheetView>
  </sheetViews>
  <sheetFormatPr defaultRowHeight="14.4"/>
  <cols>
    <col min="2" max="2" width="31" customWidth="1"/>
    <col min="3" max="3" width="39.6640625" customWidth="1"/>
  </cols>
  <sheetData>
    <row r="1" spans="1:4" ht="23.4">
      <c r="A1" s="101" t="s">
        <v>218</v>
      </c>
      <c r="B1" s="101"/>
      <c r="C1" s="101"/>
      <c r="D1" s="101"/>
    </row>
    <row r="2" spans="1:4">
      <c r="A2" s="102" t="s">
        <v>257</v>
      </c>
      <c r="B2" s="103"/>
      <c r="C2" s="103"/>
      <c r="D2" s="103"/>
    </row>
    <row r="4" spans="1:4" ht="15.6">
      <c r="B4" s="39" t="s">
        <v>215</v>
      </c>
      <c r="C4" s="40" t="s">
        <v>168</v>
      </c>
    </row>
    <row r="5" spans="1:4" ht="15.6">
      <c r="B5" s="39" t="s">
        <v>216</v>
      </c>
      <c r="C5" s="40" t="s">
        <v>167</v>
      </c>
    </row>
    <row r="6" spans="1:4" ht="15.6">
      <c r="B6" s="39" t="s">
        <v>217</v>
      </c>
      <c r="C6" s="41">
        <f ca="1">NOW()</f>
        <v>46132.870078703701</v>
      </c>
    </row>
    <row r="8" spans="1:4" ht="21">
      <c r="B8" s="100" t="s">
        <v>209</v>
      </c>
      <c r="C8" s="100"/>
    </row>
    <row r="9" spans="1:4" ht="18">
      <c r="B9" s="35" t="s">
        <v>0</v>
      </c>
      <c r="C9" s="36" t="str">
        <f>Profile!C2</f>
        <v>Individual</v>
      </c>
    </row>
    <row r="10" spans="1:4" ht="18">
      <c r="B10" s="35" t="s">
        <v>177</v>
      </c>
      <c r="C10" s="36" t="str">
        <f>Profile!C3</f>
        <v>Gift Funds Only</v>
      </c>
    </row>
    <row r="11" spans="1:4" ht="18">
      <c r="B11" s="35" t="s">
        <v>200</v>
      </c>
      <c r="C11" s="36" t="str">
        <f>Profile!C13</f>
        <v>Rent</v>
      </c>
      <c r="D11" t="s">
        <v>219</v>
      </c>
    </row>
    <row r="12" spans="1:4" ht="18">
      <c r="B12" s="35" t="s">
        <v>3</v>
      </c>
      <c r="C12" s="36" t="str">
        <f>Profile!C14</f>
        <v>Employed</v>
      </c>
    </row>
    <row r="13" spans="1:4" ht="18">
      <c r="B13" s="35" t="s">
        <v>171</v>
      </c>
      <c r="C13" s="36" t="str">
        <f>Profile!C11</f>
        <v>Owner Occupied</v>
      </c>
    </row>
    <row r="14" spans="1:4" ht="18">
      <c r="B14" s="35" t="s">
        <v>11</v>
      </c>
      <c r="C14" s="36" t="str">
        <f>IF(AND(Profile!C17="Good"),"Acceptable / Constraints May Apply","")</f>
        <v>Acceptable / Constraints May Apply</v>
      </c>
    </row>
    <row r="16" spans="1:4" ht="21">
      <c r="B16" s="51" t="s">
        <v>155</v>
      </c>
      <c r="C16" s="51"/>
    </row>
    <row r="17" spans="2:3" ht="15.6">
      <c r="B17" s="38" t="s">
        <v>212</v>
      </c>
      <c r="C17" s="37" t="str">
        <f>Profile!C4</f>
        <v>U.S. Citizen</v>
      </c>
    </row>
    <row r="18" spans="2:3" ht="15.6">
      <c r="B18" s="38" t="s">
        <v>214</v>
      </c>
      <c r="C18" s="37" t="s">
        <v>321</v>
      </c>
    </row>
    <row r="19" spans="2:3" ht="15.6">
      <c r="B19" s="38" t="s">
        <v>213</v>
      </c>
      <c r="C19" s="37"/>
    </row>
    <row r="22" spans="2:3" ht="21">
      <c r="B22" s="52" t="s">
        <v>258</v>
      </c>
      <c r="C22" s="34" t="s">
        <v>252</v>
      </c>
    </row>
    <row r="23" spans="2:3" ht="18">
      <c r="B23" s="53"/>
      <c r="C23" s="34" t="s">
        <v>259</v>
      </c>
    </row>
    <row r="24" spans="2:3">
      <c r="B24" s="34"/>
      <c r="C24" s="34" t="s">
        <v>260</v>
      </c>
    </row>
    <row r="25" spans="2:3">
      <c r="B25" s="34"/>
      <c r="C25" s="34" t="s">
        <v>261</v>
      </c>
    </row>
    <row r="27" spans="2:3" ht="18">
      <c r="B27" s="65" t="s">
        <v>21</v>
      </c>
      <c r="C27" s="66"/>
    </row>
    <row r="28" spans="2:3">
      <c r="B28" s="66"/>
      <c r="C28" s="66" t="s">
        <v>313</v>
      </c>
    </row>
    <row r="29" spans="2:3">
      <c r="B29" s="66"/>
      <c r="C29" s="66" t="s">
        <v>314</v>
      </c>
    </row>
    <row r="30" spans="2:3">
      <c r="B30" s="66"/>
      <c r="C30" s="66" t="s">
        <v>315</v>
      </c>
    </row>
    <row r="31" spans="2:3">
      <c r="B31" s="66"/>
      <c r="C31" s="66"/>
    </row>
    <row r="32" spans="2:3">
      <c r="B32" s="1"/>
      <c r="C32" s="2"/>
    </row>
    <row r="33" spans="2:4" ht="18">
      <c r="B33" s="98" t="s">
        <v>165</v>
      </c>
      <c r="C33" s="99"/>
      <c r="D33" s="67"/>
    </row>
    <row r="34" spans="2:4" ht="15.6">
      <c r="B34" s="90" t="s">
        <v>169</v>
      </c>
      <c r="C34" s="91">
        <f>Capacity!C2</f>
        <v>4000</v>
      </c>
    </row>
    <row r="35" spans="2:4" ht="15.6">
      <c r="B35" s="90" t="s">
        <v>170</v>
      </c>
      <c r="C35" s="91">
        <f>Capacity!C5</f>
        <v>1000</v>
      </c>
    </row>
    <row r="36" spans="2:4" ht="15.6">
      <c r="B36" s="84" t="s">
        <v>244</v>
      </c>
      <c r="C36" s="92">
        <f>Capacity!C8</f>
        <v>0.4</v>
      </c>
    </row>
    <row r="37" spans="2:4" ht="15.6">
      <c r="B37" s="84" t="s">
        <v>312</v>
      </c>
      <c r="C37" s="85">
        <f>Capacity!C11</f>
        <v>600</v>
      </c>
    </row>
    <row r="38" spans="2:4" ht="15.6">
      <c r="B38" s="84" t="s">
        <v>166</v>
      </c>
      <c r="C38" s="85">
        <f>Capacity!C15</f>
        <v>94926.491722243736</v>
      </c>
    </row>
    <row r="39" spans="2:4" ht="21">
      <c r="B39" s="87" t="s">
        <v>310</v>
      </c>
      <c r="C39" s="88">
        <f>Capacity!C19</f>
        <v>105473.87969138192</v>
      </c>
    </row>
    <row r="40" spans="2:4" ht="18">
      <c r="B40" s="86" t="s">
        <v>311</v>
      </c>
      <c r="C40" s="89">
        <f>Capacity!C20</f>
        <v>13711.604359879646</v>
      </c>
    </row>
    <row r="47" spans="2:4" ht="18">
      <c r="B47" s="3"/>
    </row>
  </sheetData>
  <mergeCells count="4">
    <mergeCell ref="B33:C33"/>
    <mergeCell ref="B8:C8"/>
    <mergeCell ref="A1:D1"/>
    <mergeCell ref="A2:D2"/>
  </mergeCells>
  <pageMargins left="0.7" right="0.7" top="0.5" bottom="0.5" header="0.3" footer="0.3"/>
  <pageSetup orientation="portrait" r:id="rId1"/>
  <headerFooter>
    <oddFooter>&amp;C&amp;"-,Italic"&amp;K09-048*This is a preliminary assessment and des not constitute a loan approval. Final terms subject to full underwriting review.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8B2C-1893-4B0D-8A41-588CD30E24A9}">
  <dimension ref="A1:F361"/>
  <sheetViews>
    <sheetView workbookViewId="0">
      <selection activeCell="L18" sqref="L18"/>
    </sheetView>
  </sheetViews>
  <sheetFormatPr defaultRowHeight="14.4"/>
  <sheetData>
    <row r="1" spans="1:6">
      <c r="A1" s="18" t="s">
        <v>111</v>
      </c>
      <c r="B1" s="18" t="s">
        <v>80</v>
      </c>
      <c r="C1" s="18" t="s">
        <v>110</v>
      </c>
      <c r="D1" s="18" t="s">
        <v>84</v>
      </c>
      <c r="E1" s="18" t="s">
        <v>86</v>
      </c>
      <c r="F1" s="18" t="s">
        <v>88</v>
      </c>
    </row>
    <row r="2" spans="1:6">
      <c r="A2">
        <v>1</v>
      </c>
      <c r="B2">
        <f>[1]Inputs!B11</f>
        <v>240000</v>
      </c>
      <c r="C2">
        <f>PMT([1]Inputs!B12/12,[1]Inputs!B13*12,-[1]Inputs!B11)</f>
        <v>1516.963256383113</v>
      </c>
      <c r="D2">
        <f>B2*[1]Inputs!B12/12</f>
        <v>1300</v>
      </c>
      <c r="E2">
        <f t="shared" ref="E2:E65" si="0">C2-D2</f>
        <v>216.96325638311305</v>
      </c>
      <c r="F2">
        <f t="shared" ref="F2:F65" si="1">B2-E2</f>
        <v>239783.03674361689</v>
      </c>
    </row>
    <row r="3" spans="1:6">
      <c r="A3">
        <f t="shared" ref="A3:A66" si="2">A2+1</f>
        <v>2</v>
      </c>
      <c r="B3">
        <f t="shared" ref="B3:B66" si="3">F2</f>
        <v>239783.03674361689</v>
      </c>
      <c r="C3">
        <f>C2</f>
        <v>1516.963256383113</v>
      </c>
      <c r="D3">
        <f>B3*[1]Inputs!B12/12</f>
        <v>1298.8247823612583</v>
      </c>
      <c r="E3">
        <f t="shared" si="0"/>
        <v>218.13847402185479</v>
      </c>
      <c r="F3">
        <f t="shared" si="1"/>
        <v>239564.89826959503</v>
      </c>
    </row>
    <row r="4" spans="1:6">
      <c r="A4">
        <f t="shared" si="2"/>
        <v>3</v>
      </c>
      <c r="B4">
        <f t="shared" si="3"/>
        <v>239564.89826959503</v>
      </c>
      <c r="C4">
        <f>C2</f>
        <v>1516.963256383113</v>
      </c>
      <c r="D4">
        <f>B4*[1]Inputs!B12/12</f>
        <v>1297.6431989603063</v>
      </c>
      <c r="E4">
        <f t="shared" si="0"/>
        <v>219.32005742280671</v>
      </c>
      <c r="F4">
        <f t="shared" si="1"/>
        <v>239345.57821217223</v>
      </c>
    </row>
    <row r="5" spans="1:6">
      <c r="A5">
        <f t="shared" si="2"/>
        <v>4</v>
      </c>
      <c r="B5">
        <f t="shared" si="3"/>
        <v>239345.57821217223</v>
      </c>
      <c r="C5">
        <f>C2</f>
        <v>1516.963256383113</v>
      </c>
      <c r="D5">
        <f>B5*[1]Inputs!B12/12</f>
        <v>1296.4552153159329</v>
      </c>
      <c r="E5">
        <f t="shared" si="0"/>
        <v>220.5080410671801</v>
      </c>
      <c r="F5">
        <f t="shared" si="1"/>
        <v>239125.07017110504</v>
      </c>
    </row>
    <row r="6" spans="1:6">
      <c r="A6">
        <f t="shared" si="2"/>
        <v>5</v>
      </c>
      <c r="B6">
        <f t="shared" si="3"/>
        <v>239125.07017110504</v>
      </c>
      <c r="C6">
        <f>C2</f>
        <v>1516.963256383113</v>
      </c>
      <c r="D6">
        <f>B6*[1]Inputs!B12/12</f>
        <v>1295.2607967601523</v>
      </c>
      <c r="E6">
        <f t="shared" si="0"/>
        <v>221.70245962296076</v>
      </c>
      <c r="F6">
        <f t="shared" si="1"/>
        <v>238903.36771148207</v>
      </c>
    </row>
    <row r="7" spans="1:6">
      <c r="A7">
        <f t="shared" si="2"/>
        <v>6</v>
      </c>
      <c r="B7">
        <f t="shared" si="3"/>
        <v>238903.36771148207</v>
      </c>
      <c r="C7">
        <f>C2</f>
        <v>1516.963256383113</v>
      </c>
      <c r="D7">
        <f>B7*[1]Inputs!B12/12</f>
        <v>1294.0599084371945</v>
      </c>
      <c r="E7">
        <f t="shared" si="0"/>
        <v>222.90334794591854</v>
      </c>
      <c r="F7">
        <f t="shared" si="1"/>
        <v>238680.46436353616</v>
      </c>
    </row>
    <row r="8" spans="1:6">
      <c r="A8">
        <f t="shared" si="2"/>
        <v>7</v>
      </c>
      <c r="B8">
        <f t="shared" si="3"/>
        <v>238680.46436353616</v>
      </c>
      <c r="C8">
        <f>C2</f>
        <v>1516.963256383113</v>
      </c>
      <c r="D8">
        <f>B8*[1]Inputs!B12/12</f>
        <v>1292.8525153024875</v>
      </c>
      <c r="E8">
        <f t="shared" si="0"/>
        <v>224.11074108062553</v>
      </c>
      <c r="F8">
        <f t="shared" si="1"/>
        <v>238456.35362245553</v>
      </c>
    </row>
    <row r="9" spans="1:6">
      <c r="A9">
        <f t="shared" si="2"/>
        <v>8</v>
      </c>
      <c r="B9">
        <f t="shared" si="3"/>
        <v>238456.35362245553</v>
      </c>
      <c r="C9">
        <f>C2</f>
        <v>1516.963256383113</v>
      </c>
      <c r="D9">
        <f>B9*[1]Inputs!B12/12</f>
        <v>1291.6385821216343</v>
      </c>
      <c r="E9">
        <f t="shared" si="0"/>
        <v>225.32467426147878</v>
      </c>
      <c r="F9">
        <f t="shared" si="1"/>
        <v>238231.02894819406</v>
      </c>
    </row>
    <row r="10" spans="1:6">
      <c r="A10">
        <f t="shared" si="2"/>
        <v>9</v>
      </c>
      <c r="B10">
        <f t="shared" si="3"/>
        <v>238231.02894819406</v>
      </c>
      <c r="C10">
        <f>C2</f>
        <v>1516.963256383113</v>
      </c>
      <c r="D10">
        <f>B10*[1]Inputs!B12/12</f>
        <v>1290.4180734693846</v>
      </c>
      <c r="E10">
        <f t="shared" si="0"/>
        <v>226.54518291372847</v>
      </c>
      <c r="F10">
        <f t="shared" si="1"/>
        <v>238004.48376528034</v>
      </c>
    </row>
    <row r="11" spans="1:6">
      <c r="A11">
        <f t="shared" si="2"/>
        <v>10</v>
      </c>
      <c r="B11">
        <f t="shared" si="3"/>
        <v>238004.48376528034</v>
      </c>
      <c r="C11">
        <f>C2</f>
        <v>1516.963256383113</v>
      </c>
      <c r="D11">
        <f>B11*[1]Inputs!B12/12</f>
        <v>1289.1909537286019</v>
      </c>
      <c r="E11">
        <f t="shared" si="0"/>
        <v>227.77230265451112</v>
      </c>
      <c r="F11">
        <f t="shared" si="1"/>
        <v>237776.71146262583</v>
      </c>
    </row>
    <row r="12" spans="1:6">
      <c r="A12">
        <f t="shared" si="2"/>
        <v>11</v>
      </c>
      <c r="B12">
        <f t="shared" si="3"/>
        <v>237776.71146262583</v>
      </c>
      <c r="C12">
        <f>C2</f>
        <v>1516.963256383113</v>
      </c>
      <c r="D12">
        <f>B12*[1]Inputs!B12/12</f>
        <v>1287.9571870892232</v>
      </c>
      <c r="E12">
        <f t="shared" si="0"/>
        <v>229.00606929388982</v>
      </c>
      <c r="F12">
        <f t="shared" si="1"/>
        <v>237547.70539333194</v>
      </c>
    </row>
    <row r="13" spans="1:6">
      <c r="A13">
        <f t="shared" si="2"/>
        <v>12</v>
      </c>
      <c r="B13">
        <f t="shared" si="3"/>
        <v>237547.70539333194</v>
      </c>
      <c r="C13">
        <f>C2</f>
        <v>1516.963256383113</v>
      </c>
      <c r="D13">
        <f>B13*[1]Inputs!B12/12</f>
        <v>1286.7167375472147</v>
      </c>
      <c r="E13">
        <f t="shared" si="0"/>
        <v>230.24651883589831</v>
      </c>
      <c r="F13">
        <f t="shared" si="1"/>
        <v>237317.45887449605</v>
      </c>
    </row>
    <row r="14" spans="1:6">
      <c r="A14">
        <f t="shared" si="2"/>
        <v>13</v>
      </c>
      <c r="B14">
        <f t="shared" si="3"/>
        <v>237317.45887449605</v>
      </c>
      <c r="C14">
        <f>C2</f>
        <v>1516.963256383113</v>
      </c>
      <c r="D14">
        <f>B14*[1]Inputs!B12/12</f>
        <v>1285.4695689035204</v>
      </c>
      <c r="E14">
        <f t="shared" si="0"/>
        <v>231.49368747959261</v>
      </c>
      <c r="F14">
        <f t="shared" si="1"/>
        <v>237085.96518701647</v>
      </c>
    </row>
    <row r="15" spans="1:6">
      <c r="A15">
        <f t="shared" si="2"/>
        <v>14</v>
      </c>
      <c r="B15">
        <f t="shared" si="3"/>
        <v>237085.96518701647</v>
      </c>
      <c r="C15">
        <f>C2</f>
        <v>1516.963256383113</v>
      </c>
      <c r="D15">
        <f>B15*[1]Inputs!B12/12</f>
        <v>1284.2156447630059</v>
      </c>
      <c r="E15">
        <f t="shared" si="0"/>
        <v>232.74761162010714</v>
      </c>
      <c r="F15">
        <f t="shared" si="1"/>
        <v>236853.21757539635</v>
      </c>
    </row>
    <row r="16" spans="1:6">
      <c r="A16">
        <f t="shared" si="2"/>
        <v>15</v>
      </c>
      <c r="B16">
        <f t="shared" si="3"/>
        <v>236853.21757539635</v>
      </c>
      <c r="C16">
        <f>C2</f>
        <v>1516.963256383113</v>
      </c>
      <c r="D16">
        <f>B16*[1]Inputs!B12/12</f>
        <v>1282.9549285333969</v>
      </c>
      <c r="E16">
        <f t="shared" si="0"/>
        <v>234.00832784971612</v>
      </c>
      <c r="F16">
        <f t="shared" si="1"/>
        <v>236619.20924754665</v>
      </c>
    </row>
    <row r="17" spans="1:6">
      <c r="A17">
        <f t="shared" si="2"/>
        <v>16</v>
      </c>
      <c r="B17">
        <f t="shared" si="3"/>
        <v>236619.20924754665</v>
      </c>
      <c r="C17">
        <f>C2</f>
        <v>1516.963256383113</v>
      </c>
      <c r="D17">
        <f>B17*[1]Inputs!B12/12</f>
        <v>1281.687383424211</v>
      </c>
      <c r="E17">
        <f t="shared" si="0"/>
        <v>235.27587295890203</v>
      </c>
      <c r="F17">
        <f t="shared" si="1"/>
        <v>236383.93337458774</v>
      </c>
    </row>
    <row r="18" spans="1:6">
      <c r="A18">
        <f t="shared" si="2"/>
        <v>17</v>
      </c>
      <c r="B18">
        <f t="shared" si="3"/>
        <v>236383.93337458774</v>
      </c>
      <c r="C18">
        <f>C2</f>
        <v>1516.963256383113</v>
      </c>
      <c r="D18">
        <f>B18*[1]Inputs!B12/12</f>
        <v>1280.4129724456836</v>
      </c>
      <c r="E18">
        <f t="shared" si="0"/>
        <v>236.55028393742941</v>
      </c>
      <c r="F18">
        <f t="shared" si="1"/>
        <v>236147.38309065031</v>
      </c>
    </row>
    <row r="19" spans="1:6">
      <c r="A19">
        <f t="shared" si="2"/>
        <v>18</v>
      </c>
      <c r="B19">
        <f t="shared" si="3"/>
        <v>236147.38309065031</v>
      </c>
      <c r="C19">
        <f>C2</f>
        <v>1516.963256383113</v>
      </c>
      <c r="D19">
        <f>B19*[1]Inputs!B12/12</f>
        <v>1279.1316584076892</v>
      </c>
      <c r="E19">
        <f t="shared" si="0"/>
        <v>237.83159797542385</v>
      </c>
      <c r="F19">
        <f t="shared" si="1"/>
        <v>235909.55149267489</v>
      </c>
    </row>
    <row r="20" spans="1:6">
      <c r="A20">
        <f t="shared" si="2"/>
        <v>19</v>
      </c>
      <c r="B20">
        <f t="shared" si="3"/>
        <v>235909.55149267489</v>
      </c>
      <c r="C20">
        <f>C2</f>
        <v>1516.963256383113</v>
      </c>
      <c r="D20">
        <f>B20*[1]Inputs!B12/12</f>
        <v>1277.8434039186557</v>
      </c>
      <c r="E20">
        <f t="shared" si="0"/>
        <v>239.11985246445738</v>
      </c>
      <c r="F20">
        <f t="shared" si="1"/>
        <v>235670.43164021042</v>
      </c>
    </row>
    <row r="21" spans="1:6">
      <c r="A21">
        <f t="shared" si="2"/>
        <v>20</v>
      </c>
      <c r="B21">
        <f t="shared" si="3"/>
        <v>235670.43164021042</v>
      </c>
      <c r="C21">
        <f>C2</f>
        <v>1516.963256383113</v>
      </c>
      <c r="D21">
        <f>B21*[1]Inputs!B12/12</f>
        <v>1276.5481713844731</v>
      </c>
      <c r="E21">
        <f t="shared" si="0"/>
        <v>240.41508499863994</v>
      </c>
      <c r="F21">
        <f t="shared" si="1"/>
        <v>235430.01655521177</v>
      </c>
    </row>
    <row r="22" spans="1:6">
      <c r="A22">
        <f t="shared" si="2"/>
        <v>21</v>
      </c>
      <c r="B22">
        <f t="shared" si="3"/>
        <v>235430.01655521177</v>
      </c>
      <c r="C22">
        <f>C2</f>
        <v>1516.963256383113</v>
      </c>
      <c r="D22">
        <f>B22*[1]Inputs!B12/12</f>
        <v>1275.2459230073971</v>
      </c>
      <c r="E22">
        <f t="shared" si="0"/>
        <v>241.71733337571595</v>
      </c>
      <c r="F22">
        <f t="shared" si="1"/>
        <v>235188.29922183606</v>
      </c>
    </row>
    <row r="23" spans="1:6">
      <c r="A23">
        <f t="shared" si="2"/>
        <v>22</v>
      </c>
      <c r="B23">
        <f t="shared" si="3"/>
        <v>235188.29922183606</v>
      </c>
      <c r="C23">
        <f>C2</f>
        <v>1516.963256383113</v>
      </c>
      <c r="D23">
        <f>B23*[1]Inputs!B12/12</f>
        <v>1273.9366207849455</v>
      </c>
      <c r="E23">
        <f t="shared" si="0"/>
        <v>243.02663559816756</v>
      </c>
      <c r="F23">
        <f t="shared" si="1"/>
        <v>234945.2725862379</v>
      </c>
    </row>
    <row r="24" spans="1:6">
      <c r="A24">
        <f t="shared" si="2"/>
        <v>23</v>
      </c>
      <c r="B24">
        <f t="shared" si="3"/>
        <v>234945.2725862379</v>
      </c>
      <c r="C24">
        <f>C2</f>
        <v>1516.963256383113</v>
      </c>
      <c r="D24">
        <f>B24*[1]Inputs!B12/12</f>
        <v>1272.6202265087886</v>
      </c>
      <c r="E24">
        <f t="shared" si="0"/>
        <v>244.34302987432443</v>
      </c>
      <c r="F24">
        <f t="shared" si="1"/>
        <v>234700.92955636358</v>
      </c>
    </row>
    <row r="25" spans="1:6">
      <c r="A25">
        <f t="shared" si="2"/>
        <v>24</v>
      </c>
      <c r="B25">
        <f t="shared" si="3"/>
        <v>234700.92955636358</v>
      </c>
      <c r="C25">
        <f>C2</f>
        <v>1516.963256383113</v>
      </c>
      <c r="D25">
        <f>B25*[1]Inputs!B12/12</f>
        <v>1271.2967017636361</v>
      </c>
      <c r="E25">
        <f t="shared" si="0"/>
        <v>245.66655461947698</v>
      </c>
      <c r="F25">
        <f t="shared" si="1"/>
        <v>234455.26300174411</v>
      </c>
    </row>
    <row r="26" spans="1:6">
      <c r="A26">
        <f t="shared" si="2"/>
        <v>25</v>
      </c>
      <c r="B26">
        <f t="shared" si="3"/>
        <v>234455.26300174411</v>
      </c>
      <c r="C26">
        <f>C2</f>
        <v>1516.963256383113</v>
      </c>
      <c r="D26">
        <f>B26*[1]Inputs!B12/12</f>
        <v>1269.9660079261141</v>
      </c>
      <c r="E26">
        <f t="shared" si="0"/>
        <v>246.99724845699893</v>
      </c>
      <c r="F26">
        <f t="shared" si="1"/>
        <v>234208.26575328712</v>
      </c>
    </row>
    <row r="27" spans="1:6">
      <c r="A27">
        <f t="shared" si="2"/>
        <v>26</v>
      </c>
      <c r="B27">
        <f t="shared" si="3"/>
        <v>234208.26575328712</v>
      </c>
      <c r="C27">
        <f>C2</f>
        <v>1516.963256383113</v>
      </c>
      <c r="D27">
        <f>B27*[1]Inputs!B12/12</f>
        <v>1268.6281061636387</v>
      </c>
      <c r="E27">
        <f t="shared" si="0"/>
        <v>248.33515021947437</v>
      </c>
      <c r="F27">
        <f t="shared" si="1"/>
        <v>233959.93060306765</v>
      </c>
    </row>
    <row r="28" spans="1:6">
      <c r="A28">
        <f t="shared" si="2"/>
        <v>27</v>
      </c>
      <c r="B28">
        <f t="shared" si="3"/>
        <v>233959.93060306765</v>
      </c>
      <c r="C28">
        <f>C2</f>
        <v>1516.963256383113</v>
      </c>
      <c r="D28">
        <f>B28*[1]Inputs!B12/12</f>
        <v>1267.2829574332832</v>
      </c>
      <c r="E28">
        <f t="shared" si="0"/>
        <v>249.68029894982988</v>
      </c>
      <c r="F28">
        <f t="shared" si="1"/>
        <v>233710.25030411783</v>
      </c>
    </row>
    <row r="29" spans="1:6">
      <c r="A29">
        <f t="shared" si="2"/>
        <v>28</v>
      </c>
      <c r="B29">
        <f t="shared" si="3"/>
        <v>233710.25030411783</v>
      </c>
      <c r="C29">
        <f>C2</f>
        <v>1516.963256383113</v>
      </c>
      <c r="D29">
        <f>B29*[1]Inputs!B12/12</f>
        <v>1265.9305224806383</v>
      </c>
      <c r="E29">
        <f t="shared" si="0"/>
        <v>251.03273390247477</v>
      </c>
      <c r="F29">
        <f t="shared" si="1"/>
        <v>233459.21757021535</v>
      </c>
    </row>
    <row r="30" spans="1:6">
      <c r="A30">
        <f t="shared" si="2"/>
        <v>29</v>
      </c>
      <c r="B30">
        <f t="shared" si="3"/>
        <v>233459.21757021535</v>
      </c>
      <c r="C30">
        <f>C2</f>
        <v>1516.963256383113</v>
      </c>
      <c r="D30">
        <f>B30*[1]Inputs!B12/12</f>
        <v>1264.5707618386666</v>
      </c>
      <c r="E30">
        <f t="shared" si="0"/>
        <v>252.39249454444644</v>
      </c>
      <c r="F30">
        <f t="shared" si="1"/>
        <v>233206.8250756709</v>
      </c>
    </row>
    <row r="31" spans="1:6">
      <c r="A31">
        <f t="shared" si="2"/>
        <v>30</v>
      </c>
      <c r="B31">
        <f t="shared" si="3"/>
        <v>233206.8250756709</v>
      </c>
      <c r="C31">
        <f>C2</f>
        <v>1516.963256383113</v>
      </c>
      <c r="D31">
        <f>B31*[1]Inputs!B12/12</f>
        <v>1263.2036358265507</v>
      </c>
      <c r="E31">
        <f t="shared" si="0"/>
        <v>253.75962055656237</v>
      </c>
      <c r="F31">
        <f t="shared" si="1"/>
        <v>232953.06545511435</v>
      </c>
    </row>
    <row r="32" spans="1:6">
      <c r="A32">
        <f t="shared" si="2"/>
        <v>31</v>
      </c>
      <c r="B32">
        <f t="shared" si="3"/>
        <v>232953.06545511435</v>
      </c>
      <c r="C32">
        <f>C2</f>
        <v>1516.963256383113</v>
      </c>
      <c r="D32">
        <f>B32*[1]Inputs!B12/12</f>
        <v>1261.8291045485362</v>
      </c>
      <c r="E32">
        <f t="shared" si="0"/>
        <v>255.13415183457687</v>
      </c>
      <c r="F32">
        <f t="shared" si="1"/>
        <v>232697.93130327977</v>
      </c>
    </row>
    <row r="33" spans="1:6">
      <c r="A33">
        <f t="shared" si="2"/>
        <v>32</v>
      </c>
      <c r="B33">
        <f t="shared" si="3"/>
        <v>232697.93130327977</v>
      </c>
      <c r="C33">
        <f>C2</f>
        <v>1516.963256383113</v>
      </c>
      <c r="D33">
        <f>B33*[1]Inputs!B12/12</f>
        <v>1260.4471278927654</v>
      </c>
      <c r="E33">
        <f t="shared" si="0"/>
        <v>256.51612849034768</v>
      </c>
      <c r="F33">
        <f t="shared" si="1"/>
        <v>232441.41517478941</v>
      </c>
    </row>
    <row r="34" spans="1:6">
      <c r="A34">
        <f t="shared" si="2"/>
        <v>33</v>
      </c>
      <c r="B34">
        <f t="shared" si="3"/>
        <v>232441.41517478941</v>
      </c>
      <c r="C34">
        <f>C2</f>
        <v>1516.963256383113</v>
      </c>
      <c r="D34">
        <f>B34*[1]Inputs!B12/12</f>
        <v>1259.0576655301093</v>
      </c>
      <c r="E34">
        <f t="shared" si="0"/>
        <v>257.90559085300379</v>
      </c>
      <c r="F34">
        <f t="shared" si="1"/>
        <v>232183.50958393639</v>
      </c>
    </row>
    <row r="35" spans="1:6">
      <c r="A35">
        <f t="shared" si="2"/>
        <v>34</v>
      </c>
      <c r="B35">
        <f t="shared" si="3"/>
        <v>232183.50958393639</v>
      </c>
      <c r="C35">
        <f>C2</f>
        <v>1516.963256383113</v>
      </c>
      <c r="D35">
        <f>B35*[1]Inputs!B12/12</f>
        <v>1257.6606769129887</v>
      </c>
      <c r="E35">
        <f t="shared" si="0"/>
        <v>259.30257947012433</v>
      </c>
      <c r="F35">
        <f t="shared" si="1"/>
        <v>231924.20700446627</v>
      </c>
    </row>
    <row r="36" spans="1:6">
      <c r="A36">
        <f t="shared" si="2"/>
        <v>35</v>
      </c>
      <c r="B36">
        <f t="shared" si="3"/>
        <v>231924.20700446627</v>
      </c>
      <c r="C36">
        <f>C2</f>
        <v>1516.963256383113</v>
      </c>
      <c r="D36">
        <f>B36*[1]Inputs!B12/12</f>
        <v>1256.2561212741923</v>
      </c>
      <c r="E36">
        <f t="shared" si="0"/>
        <v>260.70713510892074</v>
      </c>
      <c r="F36">
        <f t="shared" si="1"/>
        <v>231663.49986935736</v>
      </c>
    </row>
    <row r="37" spans="1:6">
      <c r="A37">
        <f t="shared" si="2"/>
        <v>36</v>
      </c>
      <c r="B37">
        <f t="shared" si="3"/>
        <v>231663.49986935736</v>
      </c>
      <c r="C37">
        <f>C2</f>
        <v>1516.963256383113</v>
      </c>
      <c r="D37">
        <f>B37*[1]Inputs!B12/12</f>
        <v>1254.8439576256858</v>
      </c>
      <c r="E37">
        <f t="shared" si="0"/>
        <v>262.11929875742726</v>
      </c>
      <c r="F37">
        <f t="shared" si="1"/>
        <v>231401.38057059993</v>
      </c>
    </row>
    <row r="38" spans="1:6">
      <c r="A38">
        <f t="shared" si="2"/>
        <v>37</v>
      </c>
      <c r="B38">
        <f t="shared" si="3"/>
        <v>231401.38057059993</v>
      </c>
      <c r="C38">
        <f>C2</f>
        <v>1516.963256383113</v>
      </c>
      <c r="D38">
        <f>B38*[1]Inputs!B12/12</f>
        <v>1253.4241447574163</v>
      </c>
      <c r="E38">
        <f t="shared" si="0"/>
        <v>263.53911162569671</v>
      </c>
      <c r="F38">
        <f t="shared" si="1"/>
        <v>231137.84145897423</v>
      </c>
    </row>
    <row r="39" spans="1:6">
      <c r="A39">
        <f t="shared" si="2"/>
        <v>38</v>
      </c>
      <c r="B39">
        <f t="shared" si="3"/>
        <v>231137.84145897423</v>
      </c>
      <c r="C39">
        <f>C2</f>
        <v>1516.963256383113</v>
      </c>
      <c r="D39">
        <f>B39*[1]Inputs!B12/12</f>
        <v>1251.9966412361105</v>
      </c>
      <c r="E39">
        <f t="shared" si="0"/>
        <v>264.96661514700259</v>
      </c>
      <c r="F39">
        <f t="shared" si="1"/>
        <v>230872.87484382722</v>
      </c>
    </row>
    <row r="40" spans="1:6">
      <c r="A40">
        <f t="shared" si="2"/>
        <v>39</v>
      </c>
      <c r="B40">
        <f t="shared" si="3"/>
        <v>230872.87484382722</v>
      </c>
      <c r="C40">
        <f>C2</f>
        <v>1516.963256383113</v>
      </c>
      <c r="D40">
        <f>B40*[1]Inputs!B12/12</f>
        <v>1250.5614054040641</v>
      </c>
      <c r="E40">
        <f t="shared" si="0"/>
        <v>266.40185097904896</v>
      </c>
      <c r="F40">
        <f t="shared" si="1"/>
        <v>230606.47299284817</v>
      </c>
    </row>
    <row r="41" spans="1:6">
      <c r="A41">
        <f t="shared" si="2"/>
        <v>40</v>
      </c>
      <c r="B41">
        <f t="shared" si="3"/>
        <v>230606.47299284817</v>
      </c>
      <c r="C41">
        <f>C2</f>
        <v>1516.963256383113</v>
      </c>
      <c r="D41">
        <f>B41*[1]Inputs!B12/12</f>
        <v>1249.1183953779275</v>
      </c>
      <c r="E41">
        <f t="shared" si="0"/>
        <v>267.84486100518552</v>
      </c>
      <c r="F41">
        <f t="shared" si="1"/>
        <v>230338.628131843</v>
      </c>
    </row>
    <row r="42" spans="1:6">
      <c r="A42">
        <f t="shared" si="2"/>
        <v>41</v>
      </c>
      <c r="B42">
        <f t="shared" si="3"/>
        <v>230338.628131843</v>
      </c>
      <c r="C42">
        <f>C2</f>
        <v>1516.963256383113</v>
      </c>
      <c r="D42">
        <f>B42*[1]Inputs!B12/12</f>
        <v>1247.6675690474829</v>
      </c>
      <c r="E42">
        <f t="shared" si="0"/>
        <v>269.29568733563019</v>
      </c>
      <c r="F42">
        <f t="shared" si="1"/>
        <v>230069.33244450737</v>
      </c>
    </row>
    <row r="43" spans="1:6">
      <c r="A43">
        <f t="shared" si="2"/>
        <v>42</v>
      </c>
      <c r="B43">
        <f t="shared" si="3"/>
        <v>230069.33244450737</v>
      </c>
      <c r="C43">
        <f>C2</f>
        <v>1516.963256383113</v>
      </c>
      <c r="D43">
        <f>B43*[1]Inputs!B12/12</f>
        <v>1246.208884074415</v>
      </c>
      <c r="E43">
        <f t="shared" si="0"/>
        <v>270.75437230869807</v>
      </c>
      <c r="F43">
        <f t="shared" si="1"/>
        <v>229798.57807219867</v>
      </c>
    </row>
    <row r="44" spans="1:6">
      <c r="A44">
        <f t="shared" si="2"/>
        <v>43</v>
      </c>
      <c r="B44">
        <f t="shared" si="3"/>
        <v>229798.57807219867</v>
      </c>
      <c r="C44">
        <f>C2</f>
        <v>1516.963256383113</v>
      </c>
      <c r="D44">
        <f>B44*[1]Inputs!B12/12</f>
        <v>1244.7422978910761</v>
      </c>
      <c r="E44">
        <f t="shared" si="0"/>
        <v>272.22095849203697</v>
      </c>
      <c r="F44">
        <f t="shared" si="1"/>
        <v>229526.35711370662</v>
      </c>
    </row>
    <row r="45" spans="1:6">
      <c r="A45">
        <f t="shared" si="2"/>
        <v>44</v>
      </c>
      <c r="B45">
        <f t="shared" si="3"/>
        <v>229526.35711370662</v>
      </c>
      <c r="C45">
        <f>C2</f>
        <v>1516.963256383113</v>
      </c>
      <c r="D45">
        <f>B45*[1]Inputs!B12/12</f>
        <v>1243.2677676992441</v>
      </c>
      <c r="E45">
        <f t="shared" si="0"/>
        <v>273.69548868386892</v>
      </c>
      <c r="F45">
        <f t="shared" si="1"/>
        <v>229252.66162502274</v>
      </c>
    </row>
    <row r="46" spans="1:6">
      <c r="A46">
        <f t="shared" si="2"/>
        <v>45</v>
      </c>
      <c r="B46">
        <f t="shared" si="3"/>
        <v>229252.66162502274</v>
      </c>
      <c r="C46">
        <f>C2</f>
        <v>1516.963256383113</v>
      </c>
      <c r="D46">
        <f>B46*[1]Inputs!B12/12</f>
        <v>1241.7852504688733</v>
      </c>
      <c r="E46">
        <f t="shared" si="0"/>
        <v>275.17800591423975</v>
      </c>
      <c r="F46">
        <f t="shared" si="1"/>
        <v>228977.48361910851</v>
      </c>
    </row>
    <row r="47" spans="1:6">
      <c r="A47">
        <f t="shared" si="2"/>
        <v>46</v>
      </c>
      <c r="B47">
        <f t="shared" si="3"/>
        <v>228977.48361910851</v>
      </c>
      <c r="C47">
        <f>C2</f>
        <v>1516.963256383113</v>
      </c>
      <c r="D47">
        <f>B47*[1]Inputs!B12/12</f>
        <v>1240.2947029368377</v>
      </c>
      <c r="E47">
        <f t="shared" si="0"/>
        <v>276.66855344627538</v>
      </c>
      <c r="F47">
        <f t="shared" si="1"/>
        <v>228700.81506566223</v>
      </c>
    </row>
    <row r="48" spans="1:6">
      <c r="A48">
        <f t="shared" si="2"/>
        <v>47</v>
      </c>
      <c r="B48">
        <f t="shared" si="3"/>
        <v>228700.81506566223</v>
      </c>
      <c r="C48">
        <f>C2</f>
        <v>1516.963256383113</v>
      </c>
      <c r="D48">
        <f>B48*[1]Inputs!B12/12</f>
        <v>1238.7960816056705</v>
      </c>
      <c r="E48">
        <f t="shared" si="0"/>
        <v>278.1671747774426</v>
      </c>
      <c r="F48">
        <f t="shared" si="1"/>
        <v>228422.64789088478</v>
      </c>
    </row>
    <row r="49" spans="1:6">
      <c r="A49">
        <f t="shared" si="2"/>
        <v>48</v>
      </c>
      <c r="B49">
        <f t="shared" si="3"/>
        <v>228422.64789088478</v>
      </c>
      <c r="C49">
        <f>C2</f>
        <v>1516.963256383113</v>
      </c>
      <c r="D49">
        <f>B49*[1]Inputs!B12/12</f>
        <v>1237.2893427422925</v>
      </c>
      <c r="E49">
        <f t="shared" si="0"/>
        <v>279.6739136408205</v>
      </c>
      <c r="F49">
        <f t="shared" si="1"/>
        <v>228142.97397724396</v>
      </c>
    </row>
    <row r="50" spans="1:6">
      <c r="A50">
        <f t="shared" si="2"/>
        <v>49</v>
      </c>
      <c r="B50">
        <f t="shared" si="3"/>
        <v>228142.97397724396</v>
      </c>
      <c r="C50">
        <f>C2</f>
        <v>1516.963256383113</v>
      </c>
      <c r="D50">
        <f>B50*[1]Inputs!B12/12</f>
        <v>1235.7744423767383</v>
      </c>
      <c r="E50">
        <f t="shared" si="0"/>
        <v>281.18881400637474</v>
      </c>
      <c r="F50">
        <f t="shared" si="1"/>
        <v>227861.7851632376</v>
      </c>
    </row>
    <row r="51" spans="1:6">
      <c r="A51">
        <f t="shared" si="2"/>
        <v>50</v>
      </c>
      <c r="B51">
        <f t="shared" si="3"/>
        <v>227861.7851632376</v>
      </c>
      <c r="C51">
        <f>C2</f>
        <v>1516.963256383113</v>
      </c>
      <c r="D51">
        <f>B51*[1]Inputs!B12/12</f>
        <v>1234.2513363008704</v>
      </c>
      <c r="E51">
        <f t="shared" si="0"/>
        <v>282.71192008224261</v>
      </c>
      <c r="F51">
        <f t="shared" si="1"/>
        <v>227579.07324315535</v>
      </c>
    </row>
    <row r="52" spans="1:6">
      <c r="A52">
        <f t="shared" si="2"/>
        <v>51</v>
      </c>
      <c r="B52">
        <f t="shared" si="3"/>
        <v>227579.07324315535</v>
      </c>
      <c r="C52">
        <f>C2</f>
        <v>1516.963256383113</v>
      </c>
      <c r="D52">
        <f>B52*[1]Inputs!B12/12</f>
        <v>1232.7199800670915</v>
      </c>
      <c r="E52">
        <f t="shared" si="0"/>
        <v>284.24327631602159</v>
      </c>
      <c r="F52">
        <f t="shared" si="1"/>
        <v>227294.82996683932</v>
      </c>
    </row>
    <row r="53" spans="1:6">
      <c r="A53">
        <f t="shared" si="2"/>
        <v>52</v>
      </c>
      <c r="B53">
        <f t="shared" si="3"/>
        <v>227294.82996683932</v>
      </c>
      <c r="C53">
        <f>C2</f>
        <v>1516.963256383113</v>
      </c>
      <c r="D53">
        <f>B53*[1]Inputs!B12/12</f>
        <v>1231.1803289870463</v>
      </c>
      <c r="E53">
        <f t="shared" si="0"/>
        <v>285.78292739606673</v>
      </c>
      <c r="F53">
        <f t="shared" si="1"/>
        <v>227009.04703944325</v>
      </c>
    </row>
    <row r="54" spans="1:6">
      <c r="A54">
        <f t="shared" si="2"/>
        <v>53</v>
      </c>
      <c r="B54">
        <f t="shared" si="3"/>
        <v>227009.04703944325</v>
      </c>
      <c r="C54">
        <f>C2</f>
        <v>1516.963256383113</v>
      </c>
      <c r="D54">
        <f>B54*[1]Inputs!B12/12</f>
        <v>1229.6323381303175</v>
      </c>
      <c r="E54">
        <f t="shared" si="0"/>
        <v>287.33091825279553</v>
      </c>
      <c r="F54">
        <f t="shared" si="1"/>
        <v>226721.71612119046</v>
      </c>
    </row>
    <row r="55" spans="1:6">
      <c r="A55">
        <f t="shared" si="2"/>
        <v>54</v>
      </c>
      <c r="B55">
        <f t="shared" si="3"/>
        <v>226721.71612119046</v>
      </c>
      <c r="C55">
        <f>C2</f>
        <v>1516.963256383113</v>
      </c>
      <c r="D55">
        <f>B55*[1]Inputs!B12/12</f>
        <v>1228.0759623231149</v>
      </c>
      <c r="E55">
        <f t="shared" si="0"/>
        <v>288.88729405999811</v>
      </c>
      <c r="F55">
        <f t="shared" si="1"/>
        <v>226432.82882713046</v>
      </c>
    </row>
    <row r="56" spans="1:6">
      <c r="A56">
        <f t="shared" si="2"/>
        <v>55</v>
      </c>
      <c r="B56">
        <f t="shared" si="3"/>
        <v>226432.82882713046</v>
      </c>
      <c r="C56">
        <f>C2</f>
        <v>1516.963256383113</v>
      </c>
      <c r="D56">
        <f>B56*[1]Inputs!B12/12</f>
        <v>1226.5111561469569</v>
      </c>
      <c r="E56">
        <f t="shared" si="0"/>
        <v>290.45210023615618</v>
      </c>
      <c r="F56">
        <f t="shared" si="1"/>
        <v>226142.37672689432</v>
      </c>
    </row>
    <row r="57" spans="1:6">
      <c r="A57">
        <f t="shared" si="2"/>
        <v>56</v>
      </c>
      <c r="B57">
        <f t="shared" si="3"/>
        <v>226142.37672689432</v>
      </c>
      <c r="C57">
        <f>C2</f>
        <v>1516.963256383113</v>
      </c>
      <c r="D57">
        <f>B57*[1]Inputs!B12/12</f>
        <v>1224.9378739373444</v>
      </c>
      <c r="E57">
        <f t="shared" si="0"/>
        <v>292.02538244576863</v>
      </c>
      <c r="F57">
        <f t="shared" si="1"/>
        <v>225850.35134444854</v>
      </c>
    </row>
    <row r="58" spans="1:6">
      <c r="A58">
        <f t="shared" si="2"/>
        <v>57</v>
      </c>
      <c r="B58">
        <f t="shared" si="3"/>
        <v>225850.35134444854</v>
      </c>
      <c r="C58">
        <f>C2</f>
        <v>1516.963256383113</v>
      </c>
      <c r="D58">
        <f>B58*[1]Inputs!B12/12</f>
        <v>1223.3560697824296</v>
      </c>
      <c r="E58">
        <f t="shared" si="0"/>
        <v>293.60718660068346</v>
      </c>
      <c r="F58">
        <f t="shared" si="1"/>
        <v>225556.74415784786</v>
      </c>
    </row>
    <row r="59" spans="1:6">
      <c r="A59">
        <f t="shared" si="2"/>
        <v>58</v>
      </c>
      <c r="B59">
        <f t="shared" si="3"/>
        <v>225556.74415784786</v>
      </c>
      <c r="C59">
        <f>C2</f>
        <v>1516.963256383113</v>
      </c>
      <c r="D59">
        <f>B59*[1]Inputs!B12/12</f>
        <v>1221.765697521676</v>
      </c>
      <c r="E59">
        <f t="shared" si="0"/>
        <v>295.19755886143707</v>
      </c>
      <c r="F59">
        <f t="shared" si="1"/>
        <v>225261.54659898643</v>
      </c>
    </row>
    <row r="60" spans="1:6">
      <c r="A60">
        <f t="shared" si="2"/>
        <v>59</v>
      </c>
      <c r="B60">
        <f t="shared" si="3"/>
        <v>225261.54659898643</v>
      </c>
      <c r="C60">
        <f>C2</f>
        <v>1516.963256383113</v>
      </c>
      <c r="D60">
        <f>B60*[1]Inputs!B12/12</f>
        <v>1220.1667107445098</v>
      </c>
      <c r="E60">
        <f t="shared" si="0"/>
        <v>296.79654563860322</v>
      </c>
      <c r="F60">
        <f t="shared" si="1"/>
        <v>224964.75005334782</v>
      </c>
    </row>
    <row r="61" spans="1:6">
      <c r="A61">
        <f t="shared" si="2"/>
        <v>60</v>
      </c>
      <c r="B61">
        <f t="shared" si="3"/>
        <v>224964.75005334782</v>
      </c>
      <c r="C61">
        <f>C2</f>
        <v>1516.963256383113</v>
      </c>
      <c r="D61">
        <f>B61*[1]Inputs!B12/12</f>
        <v>1218.5590627889674</v>
      </c>
      <c r="E61">
        <f t="shared" si="0"/>
        <v>298.40419359414568</v>
      </c>
      <c r="F61">
        <f t="shared" si="1"/>
        <v>224666.34585975367</v>
      </c>
    </row>
    <row r="62" spans="1:6">
      <c r="A62">
        <f t="shared" si="2"/>
        <v>61</v>
      </c>
      <c r="B62">
        <f t="shared" si="3"/>
        <v>224666.34585975367</v>
      </c>
      <c r="C62">
        <f>C2</f>
        <v>1516.963256383113</v>
      </c>
      <c r="D62">
        <f>B62*[1]Inputs!B12/12</f>
        <v>1216.9427067403324</v>
      </c>
      <c r="E62">
        <f t="shared" si="0"/>
        <v>300.02054964278068</v>
      </c>
      <c r="F62">
        <f t="shared" si="1"/>
        <v>224366.32531011087</v>
      </c>
    </row>
    <row r="63" spans="1:6">
      <c r="A63">
        <f t="shared" si="2"/>
        <v>62</v>
      </c>
      <c r="B63">
        <f t="shared" si="3"/>
        <v>224366.32531011087</v>
      </c>
      <c r="C63">
        <f>C2</f>
        <v>1516.963256383113</v>
      </c>
      <c r="D63">
        <f>B63*[1]Inputs!B12/12</f>
        <v>1215.3175954297674</v>
      </c>
      <c r="E63">
        <f t="shared" si="0"/>
        <v>301.64566095334567</v>
      </c>
      <c r="F63">
        <f t="shared" si="1"/>
        <v>224064.67964915754</v>
      </c>
    </row>
    <row r="64" spans="1:6">
      <c r="A64">
        <f t="shared" si="2"/>
        <v>63</v>
      </c>
      <c r="B64">
        <f t="shared" si="3"/>
        <v>224064.67964915754</v>
      </c>
      <c r="C64">
        <f>C2</f>
        <v>1516.963256383113</v>
      </c>
      <c r="D64">
        <f>B64*[1]Inputs!B12/12</f>
        <v>1213.6836814329367</v>
      </c>
      <c r="E64">
        <f t="shared" si="0"/>
        <v>303.27957495017631</v>
      </c>
      <c r="F64">
        <f t="shared" si="1"/>
        <v>223761.40007420737</v>
      </c>
    </row>
    <row r="65" spans="1:6">
      <c r="A65">
        <f t="shared" si="2"/>
        <v>64</v>
      </c>
      <c r="B65">
        <f t="shared" si="3"/>
        <v>223761.40007420737</v>
      </c>
      <c r="C65">
        <f>C2</f>
        <v>1516.963256383113</v>
      </c>
      <c r="D65">
        <f>B65*[1]Inputs!B12/12</f>
        <v>1212.0409170686232</v>
      </c>
      <c r="E65">
        <f t="shared" si="0"/>
        <v>304.92233931448982</v>
      </c>
      <c r="F65">
        <f t="shared" si="1"/>
        <v>223456.47773489289</v>
      </c>
    </row>
    <row r="66" spans="1:6">
      <c r="A66">
        <f t="shared" si="2"/>
        <v>65</v>
      </c>
      <c r="B66">
        <f t="shared" si="3"/>
        <v>223456.47773489289</v>
      </c>
      <c r="C66">
        <f>C2</f>
        <v>1516.963256383113</v>
      </c>
      <c r="D66">
        <f>B66*[1]Inputs!B12/12</f>
        <v>1210.3892543973366</v>
      </c>
      <c r="E66">
        <f t="shared" ref="E66:E129" si="4">C66-D66</f>
        <v>306.57400198577648</v>
      </c>
      <c r="F66">
        <f t="shared" ref="F66:F129" si="5">B66-E66</f>
        <v>223149.90373290711</v>
      </c>
    </row>
    <row r="67" spans="1:6">
      <c r="A67">
        <f t="shared" ref="A67:A130" si="6">A66+1</f>
        <v>66</v>
      </c>
      <c r="B67">
        <f t="shared" ref="B67:B130" si="7">F66</f>
        <v>223149.90373290711</v>
      </c>
      <c r="C67">
        <f>C2</f>
        <v>1516.963256383113</v>
      </c>
      <c r="D67">
        <f>B67*[1]Inputs!B12/12</f>
        <v>1208.7286452199135</v>
      </c>
      <c r="E67">
        <f t="shared" si="4"/>
        <v>308.23461116319959</v>
      </c>
      <c r="F67">
        <f t="shared" si="5"/>
        <v>222841.66912174391</v>
      </c>
    </row>
    <row r="68" spans="1:6">
      <c r="A68">
        <f t="shared" si="6"/>
        <v>67</v>
      </c>
      <c r="B68">
        <f t="shared" si="7"/>
        <v>222841.66912174391</v>
      </c>
      <c r="C68">
        <f>C2</f>
        <v>1516.963256383113</v>
      </c>
      <c r="D68">
        <f>B68*[1]Inputs!B12/12</f>
        <v>1207.0590410761129</v>
      </c>
      <c r="E68">
        <f t="shared" si="4"/>
        <v>309.90421530700019</v>
      </c>
      <c r="F68">
        <f t="shared" si="5"/>
        <v>222531.7649064369</v>
      </c>
    </row>
    <row r="69" spans="1:6">
      <c r="A69">
        <f t="shared" si="6"/>
        <v>68</v>
      </c>
      <c r="B69">
        <f t="shared" si="7"/>
        <v>222531.7649064369</v>
      </c>
      <c r="C69">
        <f>C2</f>
        <v>1516.963256383113</v>
      </c>
      <c r="D69">
        <f>B69*[1]Inputs!B12/12</f>
        <v>1205.3803932431999</v>
      </c>
      <c r="E69">
        <f t="shared" si="4"/>
        <v>311.58286313991312</v>
      </c>
      <c r="F69">
        <f t="shared" si="5"/>
        <v>222220.18204329698</v>
      </c>
    </row>
    <row r="70" spans="1:6">
      <c r="A70">
        <f t="shared" si="6"/>
        <v>69</v>
      </c>
      <c r="B70">
        <f t="shared" si="7"/>
        <v>222220.18204329698</v>
      </c>
      <c r="C70">
        <f>C2</f>
        <v>1516.963256383113</v>
      </c>
      <c r="D70">
        <f>B70*[1]Inputs!B12/12</f>
        <v>1203.6926527345254</v>
      </c>
      <c r="E70">
        <f t="shared" si="4"/>
        <v>313.27060364858767</v>
      </c>
      <c r="F70">
        <f t="shared" si="5"/>
        <v>221906.91143964839</v>
      </c>
    </row>
    <row r="71" spans="1:6">
      <c r="A71">
        <f t="shared" si="6"/>
        <v>70</v>
      </c>
      <c r="B71">
        <f t="shared" si="7"/>
        <v>221906.91143964839</v>
      </c>
      <c r="C71">
        <f>C2</f>
        <v>1516.963256383113</v>
      </c>
      <c r="D71">
        <f>B71*[1]Inputs!B12/12</f>
        <v>1201.9957702980955</v>
      </c>
      <c r="E71">
        <f t="shared" si="4"/>
        <v>314.96748608501753</v>
      </c>
      <c r="F71">
        <f t="shared" si="5"/>
        <v>221591.94395356337</v>
      </c>
    </row>
    <row r="72" spans="1:6">
      <c r="A72">
        <f t="shared" si="6"/>
        <v>71</v>
      </c>
      <c r="B72">
        <f t="shared" si="7"/>
        <v>221591.94395356337</v>
      </c>
      <c r="C72">
        <f>C2</f>
        <v>1516.963256383113</v>
      </c>
      <c r="D72">
        <f>B72*[1]Inputs!B12/12</f>
        <v>1200.289696415135</v>
      </c>
      <c r="E72">
        <f t="shared" si="4"/>
        <v>316.67355996797801</v>
      </c>
      <c r="F72">
        <f t="shared" si="5"/>
        <v>221275.27039359539</v>
      </c>
    </row>
    <row r="73" spans="1:6">
      <c r="A73">
        <f t="shared" si="6"/>
        <v>72</v>
      </c>
      <c r="B73">
        <f t="shared" si="7"/>
        <v>221275.27039359539</v>
      </c>
      <c r="C73">
        <f>C2</f>
        <v>1516.963256383113</v>
      </c>
      <c r="D73">
        <f>B73*[1]Inputs!B12/12</f>
        <v>1198.5743812986418</v>
      </c>
      <c r="E73">
        <f t="shared" si="4"/>
        <v>318.38887508447124</v>
      </c>
      <c r="F73">
        <f t="shared" si="5"/>
        <v>220956.88151851093</v>
      </c>
    </row>
    <row r="74" spans="1:6">
      <c r="A74">
        <f t="shared" si="6"/>
        <v>73</v>
      </c>
      <c r="B74">
        <f t="shared" si="7"/>
        <v>220956.88151851093</v>
      </c>
      <c r="C74">
        <f>C2</f>
        <v>1516.963256383113</v>
      </c>
      <c r="D74">
        <f>B74*[1]Inputs!B12/12</f>
        <v>1196.8497748919342</v>
      </c>
      <c r="E74">
        <f t="shared" si="4"/>
        <v>320.11348149117885</v>
      </c>
      <c r="F74">
        <f t="shared" si="5"/>
        <v>220636.76803701973</v>
      </c>
    </row>
    <row r="75" spans="1:6">
      <c r="A75">
        <f t="shared" si="6"/>
        <v>74</v>
      </c>
      <c r="B75">
        <f t="shared" si="7"/>
        <v>220636.76803701973</v>
      </c>
      <c r="C75">
        <f>C2</f>
        <v>1516.963256383113</v>
      </c>
      <c r="D75">
        <f>B75*[1]Inputs!B12/12</f>
        <v>1195.1158268671902</v>
      </c>
      <c r="E75">
        <f t="shared" si="4"/>
        <v>321.84742951592284</v>
      </c>
      <c r="F75">
        <f t="shared" si="5"/>
        <v>220314.92060750382</v>
      </c>
    </row>
    <row r="76" spans="1:6">
      <c r="A76">
        <f t="shared" si="6"/>
        <v>75</v>
      </c>
      <c r="B76">
        <f t="shared" si="7"/>
        <v>220314.92060750382</v>
      </c>
      <c r="C76">
        <f>C2</f>
        <v>1516.963256383113</v>
      </c>
      <c r="D76">
        <f>B76*[1]Inputs!B12/12</f>
        <v>1193.3724866239791</v>
      </c>
      <c r="E76">
        <f t="shared" si="4"/>
        <v>323.59076975913399</v>
      </c>
      <c r="F76">
        <f t="shared" si="5"/>
        <v>219991.32983774468</v>
      </c>
    </row>
    <row r="77" spans="1:6">
      <c r="A77">
        <f t="shared" si="6"/>
        <v>76</v>
      </c>
      <c r="B77">
        <f t="shared" si="7"/>
        <v>219991.32983774468</v>
      </c>
      <c r="C77">
        <f>C2</f>
        <v>1516.963256383113</v>
      </c>
      <c r="D77">
        <f>B77*[1]Inputs!B12/12</f>
        <v>1191.6197032877838</v>
      </c>
      <c r="E77">
        <f t="shared" si="4"/>
        <v>325.3435530953293</v>
      </c>
      <c r="F77">
        <f t="shared" si="5"/>
        <v>219665.98628464935</v>
      </c>
    </row>
    <row r="78" spans="1:6">
      <c r="A78">
        <f t="shared" si="6"/>
        <v>77</v>
      </c>
      <c r="B78">
        <f t="shared" si="7"/>
        <v>219665.98628464935</v>
      </c>
      <c r="C78">
        <f>C2</f>
        <v>1516.963256383113</v>
      </c>
      <c r="D78">
        <f>B78*[1]Inputs!B12/12</f>
        <v>1189.8574257085172</v>
      </c>
      <c r="E78">
        <f t="shared" si="4"/>
        <v>327.10583067459584</v>
      </c>
      <c r="F78">
        <f t="shared" si="5"/>
        <v>219338.88045397477</v>
      </c>
    </row>
    <row r="79" spans="1:6">
      <c r="A79">
        <f t="shared" si="6"/>
        <v>78</v>
      </c>
      <c r="B79">
        <f t="shared" si="7"/>
        <v>219338.88045397477</v>
      </c>
      <c r="C79">
        <f>C2</f>
        <v>1516.963256383113</v>
      </c>
      <c r="D79">
        <f>B79*[1]Inputs!B12/12</f>
        <v>1188.08560245903</v>
      </c>
      <c r="E79">
        <f t="shared" si="4"/>
        <v>328.87765392408301</v>
      </c>
      <c r="F79">
        <f t="shared" si="5"/>
        <v>219010.00280005069</v>
      </c>
    </row>
    <row r="80" spans="1:6">
      <c r="A80">
        <f t="shared" si="6"/>
        <v>79</v>
      </c>
      <c r="B80">
        <f t="shared" si="7"/>
        <v>219010.00280005069</v>
      </c>
      <c r="C80">
        <f>C2</f>
        <v>1516.963256383113</v>
      </c>
      <c r="D80">
        <f>B80*[1]Inputs!B12/12</f>
        <v>1186.304181833608</v>
      </c>
      <c r="E80">
        <f t="shared" si="4"/>
        <v>330.65907454950502</v>
      </c>
      <c r="F80">
        <f t="shared" si="5"/>
        <v>218679.34372550118</v>
      </c>
    </row>
    <row r="81" spans="1:6">
      <c r="A81">
        <f t="shared" si="6"/>
        <v>80</v>
      </c>
      <c r="B81">
        <f t="shared" si="7"/>
        <v>218679.34372550118</v>
      </c>
      <c r="C81">
        <f>C2</f>
        <v>1516.963256383113</v>
      </c>
      <c r="D81">
        <f>B81*[1]Inputs!B12/12</f>
        <v>1184.5131118464649</v>
      </c>
      <c r="E81">
        <f t="shared" si="4"/>
        <v>332.45014453664817</v>
      </c>
      <c r="F81">
        <f t="shared" si="5"/>
        <v>218346.89358096453</v>
      </c>
    </row>
    <row r="82" spans="1:6">
      <c r="A82">
        <f t="shared" si="6"/>
        <v>81</v>
      </c>
      <c r="B82">
        <f t="shared" si="7"/>
        <v>218346.89358096453</v>
      </c>
      <c r="C82">
        <f>C2</f>
        <v>1516.963256383113</v>
      </c>
      <c r="D82">
        <f>B82*[1]Inputs!B12/12</f>
        <v>1182.7123402302245</v>
      </c>
      <c r="E82">
        <f t="shared" si="4"/>
        <v>334.25091615288852</v>
      </c>
      <c r="F82">
        <f t="shared" si="5"/>
        <v>218012.64266481163</v>
      </c>
    </row>
    <row r="83" spans="1:6">
      <c r="A83">
        <f t="shared" si="6"/>
        <v>82</v>
      </c>
      <c r="B83">
        <f t="shared" si="7"/>
        <v>218012.64266481163</v>
      </c>
      <c r="C83">
        <f>C2</f>
        <v>1516.963256383113</v>
      </c>
      <c r="D83">
        <f>B83*[1]Inputs!B12/12</f>
        <v>1180.9018144343963</v>
      </c>
      <c r="E83">
        <f t="shared" si="4"/>
        <v>336.06144194871672</v>
      </c>
      <c r="F83">
        <f t="shared" si="5"/>
        <v>217676.58122286291</v>
      </c>
    </row>
    <row r="84" spans="1:6">
      <c r="A84">
        <f t="shared" si="6"/>
        <v>83</v>
      </c>
      <c r="B84">
        <f t="shared" si="7"/>
        <v>217676.58122286291</v>
      </c>
      <c r="C84">
        <f>C2</f>
        <v>1516.963256383113</v>
      </c>
      <c r="D84">
        <f>B84*[1]Inputs!B12/12</f>
        <v>1179.0814816238408</v>
      </c>
      <c r="E84">
        <f t="shared" si="4"/>
        <v>337.88177475927228</v>
      </c>
      <c r="F84">
        <f t="shared" si="5"/>
        <v>217338.69944810364</v>
      </c>
    </row>
    <row r="85" spans="1:6">
      <c r="A85">
        <f t="shared" si="6"/>
        <v>84</v>
      </c>
      <c r="B85">
        <f t="shared" si="7"/>
        <v>217338.69944810364</v>
      </c>
      <c r="C85">
        <f>C2</f>
        <v>1516.963256383113</v>
      </c>
      <c r="D85">
        <f>B85*[1]Inputs!B12/12</f>
        <v>1177.2512886772281</v>
      </c>
      <c r="E85">
        <f t="shared" si="4"/>
        <v>339.71196770588494</v>
      </c>
      <c r="F85">
        <f t="shared" si="5"/>
        <v>216998.98748039774</v>
      </c>
    </row>
    <row r="86" spans="1:6">
      <c r="A86">
        <f t="shared" si="6"/>
        <v>85</v>
      </c>
      <c r="B86">
        <f t="shared" si="7"/>
        <v>216998.98748039774</v>
      </c>
      <c r="C86">
        <f>C2</f>
        <v>1516.963256383113</v>
      </c>
      <c r="D86">
        <f>B86*[1]Inputs!B12/12</f>
        <v>1175.4111821854879</v>
      </c>
      <c r="E86">
        <f t="shared" si="4"/>
        <v>341.55207419762519</v>
      </c>
      <c r="F86">
        <f t="shared" si="5"/>
        <v>216657.43540620012</v>
      </c>
    </row>
    <row r="87" spans="1:6">
      <c r="A87">
        <f t="shared" si="6"/>
        <v>86</v>
      </c>
      <c r="B87">
        <f t="shared" si="7"/>
        <v>216657.43540620012</v>
      </c>
      <c r="C87">
        <f>C2</f>
        <v>1516.963256383113</v>
      </c>
      <c r="D87">
        <f>B87*[1]Inputs!B12/12</f>
        <v>1173.5611084502507</v>
      </c>
      <c r="E87">
        <f t="shared" si="4"/>
        <v>343.40214793286236</v>
      </c>
      <c r="F87">
        <f t="shared" si="5"/>
        <v>216314.03325826727</v>
      </c>
    </row>
    <row r="88" spans="1:6">
      <c r="A88">
        <f t="shared" si="6"/>
        <v>87</v>
      </c>
      <c r="B88">
        <f t="shared" si="7"/>
        <v>216314.03325826727</v>
      </c>
      <c r="C88">
        <f>C2</f>
        <v>1516.963256383113</v>
      </c>
      <c r="D88">
        <f>B88*[1]Inputs!B12/12</f>
        <v>1171.701013482281</v>
      </c>
      <c r="E88">
        <f t="shared" si="4"/>
        <v>345.26224290083201</v>
      </c>
      <c r="F88">
        <f t="shared" si="5"/>
        <v>215968.77101536645</v>
      </c>
    </row>
    <row r="89" spans="1:6">
      <c r="A89">
        <f t="shared" si="6"/>
        <v>88</v>
      </c>
      <c r="B89">
        <f t="shared" si="7"/>
        <v>215968.77101536645</v>
      </c>
      <c r="C89">
        <f>C2</f>
        <v>1516.963256383113</v>
      </c>
      <c r="D89">
        <f>B89*[1]Inputs!B12/12</f>
        <v>1169.8308429999017</v>
      </c>
      <c r="E89">
        <f t="shared" si="4"/>
        <v>347.13241338321131</v>
      </c>
      <c r="F89">
        <f t="shared" si="5"/>
        <v>215621.63860198323</v>
      </c>
    </row>
    <row r="90" spans="1:6">
      <c r="A90">
        <f t="shared" si="6"/>
        <v>89</v>
      </c>
      <c r="B90">
        <f t="shared" si="7"/>
        <v>215621.63860198323</v>
      </c>
      <c r="C90">
        <f>C2</f>
        <v>1516.963256383113</v>
      </c>
      <c r="D90">
        <f>B90*[1]Inputs!B12/12</f>
        <v>1167.9505424274091</v>
      </c>
      <c r="E90">
        <f t="shared" si="4"/>
        <v>349.01271395570393</v>
      </c>
      <c r="F90">
        <f t="shared" si="5"/>
        <v>215272.62588802751</v>
      </c>
    </row>
    <row r="91" spans="1:6">
      <c r="A91">
        <f t="shared" si="6"/>
        <v>90</v>
      </c>
      <c r="B91">
        <f t="shared" si="7"/>
        <v>215272.62588802751</v>
      </c>
      <c r="C91">
        <f>C2</f>
        <v>1516.963256383113</v>
      </c>
      <c r="D91">
        <f>B91*[1]Inputs!B12/12</f>
        <v>1166.0600568934824</v>
      </c>
      <c r="E91">
        <f t="shared" si="4"/>
        <v>350.90319948963065</v>
      </c>
      <c r="F91">
        <f t="shared" si="5"/>
        <v>214921.72268853788</v>
      </c>
    </row>
    <row r="92" spans="1:6">
      <c r="A92">
        <f t="shared" si="6"/>
        <v>91</v>
      </c>
      <c r="B92">
        <f t="shared" si="7"/>
        <v>214921.72268853788</v>
      </c>
      <c r="C92">
        <f>C2</f>
        <v>1516.963256383113</v>
      </c>
      <c r="D92">
        <f>B92*[1]Inputs!B12/12</f>
        <v>1164.1593312295802</v>
      </c>
      <c r="E92">
        <f t="shared" si="4"/>
        <v>352.80392515353287</v>
      </c>
      <c r="F92">
        <f t="shared" si="5"/>
        <v>214568.91876338434</v>
      </c>
    </row>
    <row r="93" spans="1:6">
      <c r="A93">
        <f t="shared" si="6"/>
        <v>92</v>
      </c>
      <c r="B93">
        <f t="shared" si="7"/>
        <v>214568.91876338434</v>
      </c>
      <c r="C93">
        <f>C2</f>
        <v>1516.963256383113</v>
      </c>
      <c r="D93">
        <f>B93*[1]Inputs!B12/12</f>
        <v>1162.248309968332</v>
      </c>
      <c r="E93">
        <f t="shared" si="4"/>
        <v>354.71494641478102</v>
      </c>
      <c r="F93">
        <f t="shared" si="5"/>
        <v>214214.20381696956</v>
      </c>
    </row>
    <row r="94" spans="1:6">
      <c r="A94">
        <f t="shared" si="6"/>
        <v>93</v>
      </c>
      <c r="B94">
        <f t="shared" si="7"/>
        <v>214214.20381696956</v>
      </c>
      <c r="C94">
        <f>C2</f>
        <v>1516.963256383113</v>
      </c>
      <c r="D94">
        <f>B94*[1]Inputs!B12/12</f>
        <v>1160.3269373419184</v>
      </c>
      <c r="E94">
        <f t="shared" si="4"/>
        <v>356.63631904119461</v>
      </c>
      <c r="F94">
        <f t="shared" si="5"/>
        <v>213857.56749792836</v>
      </c>
    </row>
    <row r="95" spans="1:6">
      <c r="A95">
        <f t="shared" si="6"/>
        <v>94</v>
      </c>
      <c r="B95">
        <f t="shared" si="7"/>
        <v>213857.56749792836</v>
      </c>
      <c r="C95">
        <f>C2</f>
        <v>1516.963256383113</v>
      </c>
      <c r="D95">
        <f>B95*[1]Inputs!B12/12</f>
        <v>1158.3951572804453</v>
      </c>
      <c r="E95">
        <f t="shared" si="4"/>
        <v>358.5680991026677</v>
      </c>
      <c r="F95">
        <f t="shared" si="5"/>
        <v>213498.99939882569</v>
      </c>
    </row>
    <row r="96" spans="1:6">
      <c r="A96">
        <f t="shared" si="6"/>
        <v>95</v>
      </c>
      <c r="B96">
        <f t="shared" si="7"/>
        <v>213498.99939882569</v>
      </c>
      <c r="C96">
        <f>C2</f>
        <v>1516.963256383113</v>
      </c>
      <c r="D96">
        <f>B96*[1]Inputs!B12/12</f>
        <v>1156.4529134103059</v>
      </c>
      <c r="E96">
        <f t="shared" si="4"/>
        <v>360.51034297280717</v>
      </c>
      <c r="F96">
        <f t="shared" si="5"/>
        <v>213138.48905585287</v>
      </c>
    </row>
    <row r="97" spans="1:6">
      <c r="A97">
        <f t="shared" si="6"/>
        <v>96</v>
      </c>
      <c r="B97">
        <f t="shared" si="7"/>
        <v>213138.48905585287</v>
      </c>
      <c r="C97">
        <f>C2</f>
        <v>1516.963256383113</v>
      </c>
      <c r="D97">
        <f>B97*[1]Inputs!B12/12</f>
        <v>1154.5001490525365</v>
      </c>
      <c r="E97">
        <f t="shared" si="4"/>
        <v>362.46310733057658</v>
      </c>
      <c r="F97">
        <f t="shared" si="5"/>
        <v>212776.02594852229</v>
      </c>
    </row>
    <row r="98" spans="1:6">
      <c r="A98">
        <f t="shared" si="6"/>
        <v>97</v>
      </c>
      <c r="B98">
        <f t="shared" si="7"/>
        <v>212776.02594852229</v>
      </c>
      <c r="C98">
        <f>C2</f>
        <v>1516.963256383113</v>
      </c>
      <c r="D98">
        <f>B98*[1]Inputs!B12/12</f>
        <v>1152.5368072211625</v>
      </c>
      <c r="E98">
        <f t="shared" si="4"/>
        <v>364.42644916195059</v>
      </c>
      <c r="F98">
        <f t="shared" si="5"/>
        <v>212411.59949936034</v>
      </c>
    </row>
    <row r="99" spans="1:6">
      <c r="A99">
        <f t="shared" si="6"/>
        <v>98</v>
      </c>
      <c r="B99">
        <f t="shared" si="7"/>
        <v>212411.59949936034</v>
      </c>
      <c r="C99">
        <f>C2</f>
        <v>1516.963256383113</v>
      </c>
      <c r="D99">
        <f>B99*[1]Inputs!B12/12</f>
        <v>1150.5628306215351</v>
      </c>
      <c r="E99">
        <f t="shared" si="4"/>
        <v>366.40042576157794</v>
      </c>
      <c r="F99">
        <f t="shared" si="5"/>
        <v>212045.19907359875</v>
      </c>
    </row>
    <row r="100" spans="1:6">
      <c r="A100">
        <f t="shared" si="6"/>
        <v>99</v>
      </c>
      <c r="B100">
        <f t="shared" si="7"/>
        <v>212045.19907359875</v>
      </c>
      <c r="C100">
        <f>C2</f>
        <v>1516.963256383113</v>
      </c>
      <c r="D100">
        <f>B100*[1]Inputs!B12/12</f>
        <v>1148.5781616486599</v>
      </c>
      <c r="E100">
        <f t="shared" si="4"/>
        <v>368.38509473445311</v>
      </c>
      <c r="F100">
        <f t="shared" si="5"/>
        <v>211676.81397886429</v>
      </c>
    </row>
    <row r="101" spans="1:6">
      <c r="A101">
        <f t="shared" si="6"/>
        <v>100</v>
      </c>
      <c r="B101">
        <f t="shared" si="7"/>
        <v>211676.81397886429</v>
      </c>
      <c r="C101">
        <f>C2</f>
        <v>1516.963256383113</v>
      </c>
      <c r="D101">
        <f>B101*[1]Inputs!B12/12</f>
        <v>1146.5827423855151</v>
      </c>
      <c r="E101">
        <f t="shared" si="4"/>
        <v>370.38051399759797</v>
      </c>
      <c r="F101">
        <f t="shared" si="5"/>
        <v>211306.43346486668</v>
      </c>
    </row>
    <row r="102" spans="1:6">
      <c r="A102">
        <f t="shared" si="6"/>
        <v>101</v>
      </c>
      <c r="B102">
        <f t="shared" si="7"/>
        <v>211306.43346486668</v>
      </c>
      <c r="C102">
        <f>C2</f>
        <v>1516.963256383113</v>
      </c>
      <c r="D102">
        <f>B102*[1]Inputs!B12/12</f>
        <v>1144.5765146013612</v>
      </c>
      <c r="E102">
        <f t="shared" si="4"/>
        <v>372.38674178175188</v>
      </c>
      <c r="F102">
        <f t="shared" si="5"/>
        <v>210934.04672308493</v>
      </c>
    </row>
    <row r="103" spans="1:6">
      <c r="A103">
        <f t="shared" si="6"/>
        <v>102</v>
      </c>
      <c r="B103">
        <f t="shared" si="7"/>
        <v>210934.04672308493</v>
      </c>
      <c r="C103">
        <f>C2</f>
        <v>1516.963256383113</v>
      </c>
      <c r="D103">
        <f>B103*[1]Inputs!B12/12</f>
        <v>1142.5594197500434</v>
      </c>
      <c r="E103">
        <f t="shared" si="4"/>
        <v>374.40383663306966</v>
      </c>
      <c r="F103">
        <f t="shared" si="5"/>
        <v>210559.64288645185</v>
      </c>
    </row>
    <row r="104" spans="1:6">
      <c r="A104">
        <f t="shared" si="6"/>
        <v>103</v>
      </c>
      <c r="B104">
        <f t="shared" si="7"/>
        <v>210559.64288645185</v>
      </c>
      <c r="C104">
        <f>C2</f>
        <v>1516.963256383113</v>
      </c>
      <c r="D104">
        <f>B104*[1]Inputs!B12/12</f>
        <v>1140.5313989682809</v>
      </c>
      <c r="E104">
        <f t="shared" si="4"/>
        <v>376.43185741483217</v>
      </c>
      <c r="F104">
        <f t="shared" si="5"/>
        <v>210183.21102903702</v>
      </c>
    </row>
    <row r="105" spans="1:6">
      <c r="A105">
        <f t="shared" si="6"/>
        <v>104</v>
      </c>
      <c r="B105">
        <f t="shared" si="7"/>
        <v>210183.21102903702</v>
      </c>
      <c r="C105">
        <f>C2</f>
        <v>1516.963256383113</v>
      </c>
      <c r="D105">
        <f>B105*[1]Inputs!B12/12</f>
        <v>1138.4923930739506</v>
      </c>
      <c r="E105">
        <f t="shared" si="4"/>
        <v>378.4708633091625</v>
      </c>
      <c r="F105">
        <f t="shared" si="5"/>
        <v>209804.74016572785</v>
      </c>
    </row>
    <row r="106" spans="1:6">
      <c r="A106">
        <f t="shared" si="6"/>
        <v>105</v>
      </c>
      <c r="B106">
        <f t="shared" si="7"/>
        <v>209804.74016572785</v>
      </c>
      <c r="C106">
        <f>C2</f>
        <v>1516.963256383113</v>
      </c>
      <c r="D106">
        <f>B106*[1]Inputs!B12/12</f>
        <v>1136.4423425643593</v>
      </c>
      <c r="E106">
        <f t="shared" si="4"/>
        <v>380.5209138187538</v>
      </c>
      <c r="F106">
        <f t="shared" si="5"/>
        <v>209424.21925190909</v>
      </c>
    </row>
    <row r="107" spans="1:6">
      <c r="A107">
        <f t="shared" si="6"/>
        <v>106</v>
      </c>
      <c r="B107">
        <f t="shared" si="7"/>
        <v>209424.21925190909</v>
      </c>
      <c r="C107">
        <f>C2</f>
        <v>1516.963256383113</v>
      </c>
      <c r="D107">
        <f>B107*[1]Inputs!B12/12</f>
        <v>1134.3811876145076</v>
      </c>
      <c r="E107">
        <f t="shared" si="4"/>
        <v>382.5820687686055</v>
      </c>
      <c r="F107">
        <f t="shared" si="5"/>
        <v>209041.6371831405</v>
      </c>
    </row>
    <row r="108" spans="1:6">
      <c r="A108">
        <f t="shared" si="6"/>
        <v>107</v>
      </c>
      <c r="B108">
        <f t="shared" si="7"/>
        <v>209041.6371831405</v>
      </c>
      <c r="C108">
        <f>C2</f>
        <v>1516.963256383113</v>
      </c>
      <c r="D108">
        <f>B108*[1]Inputs!B12/12</f>
        <v>1132.3088680753444</v>
      </c>
      <c r="E108">
        <f t="shared" si="4"/>
        <v>384.65438830776861</v>
      </c>
      <c r="F108">
        <f t="shared" si="5"/>
        <v>208656.98279483273</v>
      </c>
    </row>
    <row r="109" spans="1:6">
      <c r="A109">
        <f t="shared" si="6"/>
        <v>108</v>
      </c>
      <c r="B109">
        <f t="shared" si="7"/>
        <v>208656.98279483273</v>
      </c>
      <c r="C109">
        <f>C2</f>
        <v>1516.963256383113</v>
      </c>
      <c r="D109">
        <f>B109*[1]Inputs!B12/12</f>
        <v>1130.2253234720106</v>
      </c>
      <c r="E109">
        <f t="shared" si="4"/>
        <v>386.73793291110246</v>
      </c>
      <c r="F109">
        <f t="shared" si="5"/>
        <v>208270.24486192162</v>
      </c>
    </row>
    <row r="110" spans="1:6">
      <c r="A110">
        <f t="shared" si="6"/>
        <v>109</v>
      </c>
      <c r="B110">
        <f t="shared" si="7"/>
        <v>208270.24486192162</v>
      </c>
      <c r="C110">
        <f>C2</f>
        <v>1516.963256383113</v>
      </c>
      <c r="D110">
        <f>B110*[1]Inputs!B12/12</f>
        <v>1128.1304930020754</v>
      </c>
      <c r="E110">
        <f t="shared" si="4"/>
        <v>388.83276338103769</v>
      </c>
      <c r="F110">
        <f t="shared" si="5"/>
        <v>207881.41209854058</v>
      </c>
    </row>
    <row r="111" spans="1:6">
      <c r="A111">
        <f t="shared" si="6"/>
        <v>110</v>
      </c>
      <c r="B111">
        <f t="shared" si="7"/>
        <v>207881.41209854058</v>
      </c>
      <c r="C111">
        <f>C2</f>
        <v>1516.963256383113</v>
      </c>
      <c r="D111">
        <f>B111*[1]Inputs!B12/12</f>
        <v>1126.0243155337614</v>
      </c>
      <c r="E111">
        <f t="shared" si="4"/>
        <v>390.93894084935164</v>
      </c>
      <c r="F111">
        <f t="shared" si="5"/>
        <v>207490.47315769122</v>
      </c>
    </row>
    <row r="112" spans="1:6">
      <c r="A112">
        <f t="shared" si="6"/>
        <v>111</v>
      </c>
      <c r="B112">
        <f t="shared" si="7"/>
        <v>207490.47315769122</v>
      </c>
      <c r="C112">
        <f>C2</f>
        <v>1516.963256383113</v>
      </c>
      <c r="D112">
        <f>B112*[1]Inputs!B12/12</f>
        <v>1123.9067296041608</v>
      </c>
      <c r="E112">
        <f t="shared" si="4"/>
        <v>393.05652677895227</v>
      </c>
      <c r="F112">
        <f t="shared" si="5"/>
        <v>207097.41663091225</v>
      </c>
    </row>
    <row r="113" spans="1:6">
      <c r="A113">
        <f t="shared" si="6"/>
        <v>112</v>
      </c>
      <c r="B113">
        <f t="shared" si="7"/>
        <v>207097.41663091225</v>
      </c>
      <c r="C113">
        <f>C2</f>
        <v>1516.963256383113</v>
      </c>
      <c r="D113">
        <f>B113*[1]Inputs!B12/12</f>
        <v>1121.7776734174415</v>
      </c>
      <c r="E113">
        <f t="shared" si="4"/>
        <v>395.18558296567153</v>
      </c>
      <c r="F113">
        <f t="shared" si="5"/>
        <v>206702.23104794658</v>
      </c>
    </row>
    <row r="114" spans="1:6">
      <c r="A114">
        <f t="shared" si="6"/>
        <v>113</v>
      </c>
      <c r="B114">
        <f t="shared" si="7"/>
        <v>206702.23104794658</v>
      </c>
      <c r="C114">
        <f>C2</f>
        <v>1516.963256383113</v>
      </c>
      <c r="D114">
        <f>B114*[1]Inputs!B12/12</f>
        <v>1119.637084843044</v>
      </c>
      <c r="E114">
        <f t="shared" si="4"/>
        <v>397.32617154006903</v>
      </c>
      <c r="F114">
        <f t="shared" si="5"/>
        <v>206304.90487640651</v>
      </c>
    </row>
    <row r="115" spans="1:6">
      <c r="A115">
        <f t="shared" si="6"/>
        <v>114</v>
      </c>
      <c r="B115">
        <f t="shared" si="7"/>
        <v>206304.90487640651</v>
      </c>
      <c r="C115">
        <f>C2</f>
        <v>1516.963256383113</v>
      </c>
      <c r="D115">
        <f>B115*[1]Inputs!B12/12</f>
        <v>1117.4849014138686</v>
      </c>
      <c r="E115">
        <f t="shared" si="4"/>
        <v>399.47835496924449</v>
      </c>
      <c r="F115">
        <f t="shared" si="5"/>
        <v>205905.42652143727</v>
      </c>
    </row>
    <row r="116" spans="1:6">
      <c r="A116">
        <f t="shared" si="6"/>
        <v>115</v>
      </c>
      <c r="B116">
        <f t="shared" si="7"/>
        <v>205905.42652143727</v>
      </c>
      <c r="C116">
        <f>C2</f>
        <v>1516.963256383113</v>
      </c>
      <c r="D116">
        <f>B116*[1]Inputs!B12/12</f>
        <v>1115.321060324452</v>
      </c>
      <c r="E116">
        <f t="shared" si="4"/>
        <v>401.64219605866106</v>
      </c>
      <c r="F116">
        <f t="shared" si="5"/>
        <v>205503.7843253786</v>
      </c>
    </row>
    <row r="117" spans="1:6">
      <c r="A117">
        <f t="shared" si="6"/>
        <v>116</v>
      </c>
      <c r="B117">
        <f t="shared" si="7"/>
        <v>205503.7843253786</v>
      </c>
      <c r="C117">
        <f>C2</f>
        <v>1516.963256383113</v>
      </c>
      <c r="D117">
        <f>B117*[1]Inputs!B12/12</f>
        <v>1113.1454984291342</v>
      </c>
      <c r="E117">
        <f t="shared" si="4"/>
        <v>403.8177579539788</v>
      </c>
      <c r="F117">
        <f t="shared" si="5"/>
        <v>205099.96656742462</v>
      </c>
    </row>
    <row r="118" spans="1:6">
      <c r="A118">
        <f t="shared" si="6"/>
        <v>117</v>
      </c>
      <c r="B118">
        <f t="shared" si="7"/>
        <v>205099.96656742462</v>
      </c>
      <c r="C118">
        <f>C2</f>
        <v>1516.963256383113</v>
      </c>
      <c r="D118">
        <f>B118*[1]Inputs!B12/12</f>
        <v>1110.9581522402168</v>
      </c>
      <c r="E118">
        <f t="shared" si="4"/>
        <v>406.00510414289624</v>
      </c>
      <c r="F118">
        <f t="shared" si="5"/>
        <v>204693.96146328171</v>
      </c>
    </row>
    <row r="119" spans="1:6">
      <c r="A119">
        <f t="shared" si="6"/>
        <v>118</v>
      </c>
      <c r="B119">
        <f t="shared" si="7"/>
        <v>204693.96146328171</v>
      </c>
      <c r="C119">
        <f>C2</f>
        <v>1516.963256383113</v>
      </c>
      <c r="D119">
        <f>B119*[1]Inputs!B12/12</f>
        <v>1108.7589579261094</v>
      </c>
      <c r="E119">
        <f t="shared" si="4"/>
        <v>408.20429845700369</v>
      </c>
      <c r="F119">
        <f t="shared" si="5"/>
        <v>204285.7571648247</v>
      </c>
    </row>
    <row r="120" spans="1:6">
      <c r="A120">
        <f t="shared" si="6"/>
        <v>119</v>
      </c>
      <c r="B120">
        <f t="shared" si="7"/>
        <v>204285.7571648247</v>
      </c>
      <c r="C120">
        <f>C2</f>
        <v>1516.963256383113</v>
      </c>
      <c r="D120">
        <f>B120*[1]Inputs!B12/12</f>
        <v>1106.5478513094672</v>
      </c>
      <c r="E120">
        <f t="shared" si="4"/>
        <v>410.41540507364584</v>
      </c>
      <c r="F120">
        <f t="shared" si="5"/>
        <v>203875.34175975106</v>
      </c>
    </row>
    <row r="121" spans="1:6">
      <c r="A121">
        <f t="shared" si="6"/>
        <v>120</v>
      </c>
      <c r="B121">
        <f t="shared" si="7"/>
        <v>203875.34175975106</v>
      </c>
      <c r="C121">
        <f>C2</f>
        <v>1516.963256383113</v>
      </c>
      <c r="D121">
        <f>B121*[1]Inputs!B12/12</f>
        <v>1104.3247678653181</v>
      </c>
      <c r="E121">
        <f t="shared" si="4"/>
        <v>412.63848851779494</v>
      </c>
      <c r="F121">
        <f t="shared" si="5"/>
        <v>203462.70327123327</v>
      </c>
    </row>
    <row r="122" spans="1:6">
      <c r="A122">
        <f t="shared" si="6"/>
        <v>121</v>
      </c>
      <c r="B122">
        <f t="shared" si="7"/>
        <v>203462.70327123327</v>
      </c>
      <c r="C122">
        <f>C2</f>
        <v>1516.963256383113</v>
      </c>
      <c r="D122">
        <f>B122*[1]Inputs!B12/12</f>
        <v>1102.0896427191803</v>
      </c>
      <c r="E122">
        <f t="shared" si="4"/>
        <v>414.8736136639327</v>
      </c>
      <c r="F122">
        <f t="shared" si="5"/>
        <v>203047.82965756935</v>
      </c>
    </row>
    <row r="123" spans="1:6">
      <c r="A123">
        <f t="shared" si="6"/>
        <v>122</v>
      </c>
      <c r="B123">
        <f t="shared" si="7"/>
        <v>203047.82965756935</v>
      </c>
      <c r="C123">
        <f>C2</f>
        <v>1516.963256383113</v>
      </c>
      <c r="D123">
        <f>B123*[1]Inputs!B12/12</f>
        <v>1099.8424106451673</v>
      </c>
      <c r="E123">
        <f t="shared" si="4"/>
        <v>417.12084573794573</v>
      </c>
      <c r="F123">
        <f t="shared" si="5"/>
        <v>202630.7088118314</v>
      </c>
    </row>
    <row r="124" spans="1:6">
      <c r="A124">
        <f t="shared" si="6"/>
        <v>123</v>
      </c>
      <c r="B124">
        <f t="shared" si="7"/>
        <v>202630.7088118314</v>
      </c>
      <c r="C124">
        <f>C2</f>
        <v>1516.963256383113</v>
      </c>
      <c r="D124">
        <f>B124*[1]Inputs!B12/12</f>
        <v>1097.5830060640867</v>
      </c>
      <c r="E124">
        <f t="shared" si="4"/>
        <v>419.38025031902635</v>
      </c>
      <c r="F124">
        <f t="shared" si="5"/>
        <v>202211.32856151238</v>
      </c>
    </row>
    <row r="125" spans="1:6">
      <c r="A125">
        <f t="shared" si="6"/>
        <v>124</v>
      </c>
      <c r="B125">
        <f t="shared" si="7"/>
        <v>202211.32856151238</v>
      </c>
      <c r="C125">
        <f>C2</f>
        <v>1516.963256383113</v>
      </c>
      <c r="D125">
        <f>B125*[1]Inputs!B12/12</f>
        <v>1095.3113630415253</v>
      </c>
      <c r="E125">
        <f t="shared" si="4"/>
        <v>421.65189334158777</v>
      </c>
      <c r="F125">
        <f t="shared" si="5"/>
        <v>201789.67666817078</v>
      </c>
    </row>
    <row r="126" spans="1:6">
      <c r="A126">
        <f t="shared" si="6"/>
        <v>125</v>
      </c>
      <c r="B126">
        <f t="shared" si="7"/>
        <v>201789.67666817078</v>
      </c>
      <c r="C126">
        <f>C2</f>
        <v>1516.963256383113</v>
      </c>
      <c r="D126">
        <f>B126*[1]Inputs!B12/12</f>
        <v>1093.0274152859251</v>
      </c>
      <c r="E126">
        <f t="shared" si="4"/>
        <v>423.9358410971879</v>
      </c>
      <c r="F126">
        <f t="shared" si="5"/>
        <v>201365.74082707361</v>
      </c>
    </row>
    <row r="127" spans="1:6">
      <c r="A127">
        <f t="shared" si="6"/>
        <v>126</v>
      </c>
      <c r="B127">
        <f t="shared" si="7"/>
        <v>201365.74082707361</v>
      </c>
      <c r="C127">
        <f>C2</f>
        <v>1516.963256383113</v>
      </c>
      <c r="D127">
        <f>B127*[1]Inputs!B12/12</f>
        <v>1090.7310961466487</v>
      </c>
      <c r="E127">
        <f t="shared" si="4"/>
        <v>426.23216023646432</v>
      </c>
      <c r="F127">
        <f t="shared" si="5"/>
        <v>200939.50866683715</v>
      </c>
    </row>
    <row r="128" spans="1:6">
      <c r="A128">
        <f t="shared" si="6"/>
        <v>127</v>
      </c>
      <c r="B128">
        <f t="shared" si="7"/>
        <v>200939.50866683715</v>
      </c>
      <c r="C128">
        <f>C2</f>
        <v>1516.963256383113</v>
      </c>
      <c r="D128">
        <f>B128*[1]Inputs!B12/12</f>
        <v>1088.4223386120345</v>
      </c>
      <c r="E128">
        <f t="shared" si="4"/>
        <v>428.54091777107851</v>
      </c>
      <c r="F128">
        <f t="shared" si="5"/>
        <v>200510.96774906607</v>
      </c>
    </row>
    <row r="129" spans="1:6">
      <c r="A129">
        <f t="shared" si="6"/>
        <v>128</v>
      </c>
      <c r="B129">
        <f t="shared" si="7"/>
        <v>200510.96774906607</v>
      </c>
      <c r="C129">
        <f>C2</f>
        <v>1516.963256383113</v>
      </c>
      <c r="D129">
        <f>B129*[1]Inputs!B12/12</f>
        <v>1086.1010753074413</v>
      </c>
      <c r="E129">
        <f t="shared" si="4"/>
        <v>430.86218107567174</v>
      </c>
      <c r="F129">
        <f t="shared" si="5"/>
        <v>200080.10556799039</v>
      </c>
    </row>
    <row r="130" spans="1:6">
      <c r="A130">
        <f t="shared" si="6"/>
        <v>129</v>
      </c>
      <c r="B130">
        <f t="shared" si="7"/>
        <v>200080.10556799039</v>
      </c>
      <c r="C130">
        <f>C2</f>
        <v>1516.963256383113</v>
      </c>
      <c r="D130">
        <f>B130*[1]Inputs!B12/12</f>
        <v>1083.7672384932814</v>
      </c>
      <c r="E130">
        <f t="shared" ref="E130:E193" si="8">C130-D130</f>
        <v>433.19601788983164</v>
      </c>
      <c r="F130">
        <f t="shared" ref="F130:F193" si="9">B130-E130</f>
        <v>199646.90955010056</v>
      </c>
    </row>
    <row r="131" spans="1:6">
      <c r="A131">
        <f t="shared" ref="A131:A194" si="10">A130+1</f>
        <v>130</v>
      </c>
      <c r="B131">
        <f t="shared" ref="B131:B194" si="11">F130</f>
        <v>199646.90955010056</v>
      </c>
      <c r="C131">
        <f>C2</f>
        <v>1516.963256383113</v>
      </c>
      <c r="D131">
        <f>B131*[1]Inputs!B12/12</f>
        <v>1081.4207600630448</v>
      </c>
      <c r="E131">
        <f t="shared" si="8"/>
        <v>435.54249632006827</v>
      </c>
      <c r="F131">
        <f t="shared" si="9"/>
        <v>199211.3670537805</v>
      </c>
    </row>
    <row r="132" spans="1:6">
      <c r="A132">
        <f t="shared" si="10"/>
        <v>131</v>
      </c>
      <c r="B132">
        <f t="shared" si="11"/>
        <v>199211.3670537805</v>
      </c>
      <c r="C132">
        <f>C2</f>
        <v>1516.963256383113</v>
      </c>
      <c r="D132">
        <f>B132*[1]Inputs!B12/12</f>
        <v>1079.0615715413112</v>
      </c>
      <c r="E132">
        <f t="shared" si="8"/>
        <v>437.90168484180185</v>
      </c>
      <c r="F132">
        <f t="shared" si="9"/>
        <v>198773.46536893869</v>
      </c>
    </row>
    <row r="133" spans="1:6">
      <c r="A133">
        <f t="shared" si="10"/>
        <v>132</v>
      </c>
      <c r="B133">
        <f t="shared" si="11"/>
        <v>198773.46536893869</v>
      </c>
      <c r="C133">
        <f>C2</f>
        <v>1516.963256383113</v>
      </c>
      <c r="D133">
        <f>B133*[1]Inputs!B12/12</f>
        <v>1076.6896040817512</v>
      </c>
      <c r="E133">
        <f t="shared" si="8"/>
        <v>440.27365230136184</v>
      </c>
      <c r="F133">
        <f t="shared" si="9"/>
        <v>198333.19171663732</v>
      </c>
    </row>
    <row r="134" spans="1:6">
      <c r="A134">
        <f t="shared" si="10"/>
        <v>133</v>
      </c>
      <c r="B134">
        <f t="shared" si="11"/>
        <v>198333.19171663732</v>
      </c>
      <c r="C134">
        <f>C2</f>
        <v>1516.963256383113</v>
      </c>
      <c r="D134">
        <f>B134*[1]Inputs!B12/12</f>
        <v>1074.3047884651189</v>
      </c>
      <c r="E134">
        <f t="shared" si="8"/>
        <v>442.65846791799413</v>
      </c>
      <c r="F134">
        <f t="shared" si="9"/>
        <v>197890.53324871932</v>
      </c>
    </row>
    <row r="135" spans="1:6">
      <c r="A135">
        <f t="shared" si="10"/>
        <v>134</v>
      </c>
      <c r="B135">
        <f t="shared" si="11"/>
        <v>197890.53324871932</v>
      </c>
      <c r="C135">
        <f>C2</f>
        <v>1516.963256383113</v>
      </c>
      <c r="D135">
        <f>B135*[1]Inputs!B12/12</f>
        <v>1071.9070550972297</v>
      </c>
      <c r="E135">
        <f t="shared" si="8"/>
        <v>445.05620128588339</v>
      </c>
      <c r="F135">
        <f t="shared" si="9"/>
        <v>197445.47704743344</v>
      </c>
    </row>
    <row r="136" spans="1:6">
      <c r="A136">
        <f t="shared" si="10"/>
        <v>135</v>
      </c>
      <c r="B136">
        <f t="shared" si="11"/>
        <v>197445.47704743344</v>
      </c>
      <c r="C136">
        <f>C2</f>
        <v>1516.963256383113</v>
      </c>
      <c r="D136">
        <f>B136*[1]Inputs!B12/12</f>
        <v>1069.4963340069312</v>
      </c>
      <c r="E136">
        <f t="shared" si="8"/>
        <v>447.46692237618186</v>
      </c>
      <c r="F136">
        <f t="shared" si="9"/>
        <v>196998.01012505725</v>
      </c>
    </row>
    <row r="137" spans="1:6">
      <c r="A137">
        <f t="shared" si="10"/>
        <v>136</v>
      </c>
      <c r="B137">
        <f t="shared" si="11"/>
        <v>196998.01012505725</v>
      </c>
      <c r="C137">
        <f>C2</f>
        <v>1516.963256383113</v>
      </c>
      <c r="D137">
        <f>B137*[1]Inputs!B12/12</f>
        <v>1067.0725548440603</v>
      </c>
      <c r="E137">
        <f t="shared" si="8"/>
        <v>449.89070153905277</v>
      </c>
      <c r="F137">
        <f t="shared" si="9"/>
        <v>196548.11942351819</v>
      </c>
    </row>
    <row r="138" spans="1:6">
      <c r="A138">
        <f t="shared" si="10"/>
        <v>137</v>
      </c>
      <c r="B138">
        <f t="shared" si="11"/>
        <v>196548.11942351819</v>
      </c>
      <c r="C138">
        <f>C2</f>
        <v>1516.963256383113</v>
      </c>
      <c r="D138">
        <f>B138*[1]Inputs!B12/12</f>
        <v>1064.6356468773902</v>
      </c>
      <c r="E138">
        <f t="shared" si="8"/>
        <v>452.32760950572288</v>
      </c>
      <c r="F138">
        <f t="shared" si="9"/>
        <v>196095.79181401245</v>
      </c>
    </row>
    <row r="139" spans="1:6">
      <c r="A139">
        <f t="shared" si="10"/>
        <v>138</v>
      </c>
      <c r="B139">
        <f t="shared" si="11"/>
        <v>196095.79181401245</v>
      </c>
      <c r="C139">
        <f>C2</f>
        <v>1516.963256383113</v>
      </c>
      <c r="D139">
        <f>B139*[1]Inputs!B12/12</f>
        <v>1062.1855389925674</v>
      </c>
      <c r="E139">
        <f t="shared" si="8"/>
        <v>454.7777173905456</v>
      </c>
      <c r="F139">
        <f t="shared" si="9"/>
        <v>195641.01409662192</v>
      </c>
    </row>
    <row r="140" spans="1:6">
      <c r="A140">
        <f t="shared" si="10"/>
        <v>139</v>
      </c>
      <c r="B140">
        <f t="shared" si="11"/>
        <v>195641.01409662192</v>
      </c>
      <c r="C140">
        <f>C2</f>
        <v>1516.963256383113</v>
      </c>
      <c r="D140">
        <f>B140*[1]Inputs!B12/12</f>
        <v>1059.7221596900354</v>
      </c>
      <c r="E140">
        <f t="shared" si="8"/>
        <v>457.24109669307768</v>
      </c>
      <c r="F140">
        <f t="shared" si="9"/>
        <v>195183.77299992883</v>
      </c>
    </row>
    <row r="141" spans="1:6">
      <c r="A141">
        <f t="shared" si="10"/>
        <v>140</v>
      </c>
      <c r="B141">
        <f t="shared" si="11"/>
        <v>195183.77299992883</v>
      </c>
      <c r="C141">
        <f>C2</f>
        <v>1516.963256383113</v>
      </c>
      <c r="D141">
        <f>B141*[1]Inputs!B12/12</f>
        <v>1057.245437082948</v>
      </c>
      <c r="E141">
        <f t="shared" si="8"/>
        <v>459.71781930016505</v>
      </c>
      <c r="F141">
        <f t="shared" si="9"/>
        <v>194724.05518062867</v>
      </c>
    </row>
    <row r="142" spans="1:6">
      <c r="A142">
        <f t="shared" si="10"/>
        <v>141</v>
      </c>
      <c r="B142">
        <f t="shared" si="11"/>
        <v>194724.05518062867</v>
      </c>
      <c r="C142">
        <f>C2</f>
        <v>1516.963256383113</v>
      </c>
      <c r="D142">
        <f>B142*[1]Inputs!B12/12</f>
        <v>1054.755298895072</v>
      </c>
      <c r="E142">
        <f t="shared" si="8"/>
        <v>462.20795748804107</v>
      </c>
      <c r="F142">
        <f t="shared" si="9"/>
        <v>194261.84722314062</v>
      </c>
    </row>
    <row r="143" spans="1:6">
      <c r="A143">
        <f t="shared" si="10"/>
        <v>142</v>
      </c>
      <c r="B143">
        <f t="shared" si="11"/>
        <v>194261.84722314062</v>
      </c>
      <c r="C143">
        <f>C2</f>
        <v>1516.963256383113</v>
      </c>
      <c r="D143">
        <f>B143*[1]Inputs!B12/12</f>
        <v>1052.2516724586783</v>
      </c>
      <c r="E143">
        <f t="shared" si="8"/>
        <v>464.71158392443476</v>
      </c>
      <c r="F143">
        <f t="shared" si="9"/>
        <v>193797.1356392162</v>
      </c>
    </row>
    <row r="144" spans="1:6">
      <c r="A144">
        <f t="shared" si="10"/>
        <v>143</v>
      </c>
      <c r="B144">
        <f t="shared" si="11"/>
        <v>193797.1356392162</v>
      </c>
      <c r="C144">
        <f>C2</f>
        <v>1516.963256383113</v>
      </c>
      <c r="D144">
        <f>B144*[1]Inputs!B12/12</f>
        <v>1049.7344847124211</v>
      </c>
      <c r="E144">
        <f t="shared" si="8"/>
        <v>467.22877167069191</v>
      </c>
      <c r="F144">
        <f t="shared" si="9"/>
        <v>193329.90686754551</v>
      </c>
    </row>
    <row r="145" spans="1:6">
      <c r="A145">
        <f t="shared" si="10"/>
        <v>144</v>
      </c>
      <c r="B145">
        <f t="shared" si="11"/>
        <v>193329.90686754551</v>
      </c>
      <c r="C145">
        <f>C2</f>
        <v>1516.963256383113</v>
      </c>
      <c r="D145">
        <f>B145*[1]Inputs!B12/12</f>
        <v>1047.2036621992049</v>
      </c>
      <c r="E145">
        <f t="shared" si="8"/>
        <v>469.75959418390812</v>
      </c>
      <c r="F145">
        <f t="shared" si="9"/>
        <v>192860.1472733616</v>
      </c>
    </row>
    <row r="146" spans="1:6">
      <c r="A146">
        <f t="shared" si="10"/>
        <v>145</v>
      </c>
      <c r="B146">
        <f t="shared" si="11"/>
        <v>192860.1472733616</v>
      </c>
      <c r="C146">
        <f>C2</f>
        <v>1516.963256383113</v>
      </c>
      <c r="D146">
        <f>B146*[1]Inputs!B12/12</f>
        <v>1044.659131064042</v>
      </c>
      <c r="E146">
        <f t="shared" si="8"/>
        <v>472.30412531907109</v>
      </c>
      <c r="F146">
        <f t="shared" si="9"/>
        <v>192387.84314804254</v>
      </c>
    </row>
    <row r="147" spans="1:6">
      <c r="A147">
        <f t="shared" si="10"/>
        <v>146</v>
      </c>
      <c r="B147">
        <f t="shared" si="11"/>
        <v>192387.84314804254</v>
      </c>
      <c r="C147">
        <f>C2</f>
        <v>1516.963256383113</v>
      </c>
      <c r="D147">
        <f>B147*[1]Inputs!B12/12</f>
        <v>1042.1008170518971</v>
      </c>
      <c r="E147">
        <f t="shared" si="8"/>
        <v>474.86243933121591</v>
      </c>
      <c r="F147">
        <f t="shared" si="9"/>
        <v>191912.98070871131</v>
      </c>
    </row>
    <row r="148" spans="1:6">
      <c r="A148">
        <f t="shared" si="10"/>
        <v>147</v>
      </c>
      <c r="B148">
        <f t="shared" si="11"/>
        <v>191912.98070871131</v>
      </c>
      <c r="C148">
        <f>C2</f>
        <v>1516.963256383113</v>
      </c>
      <c r="D148">
        <f>B148*[1]Inputs!B12/12</f>
        <v>1039.5286455055195</v>
      </c>
      <c r="E148">
        <f t="shared" si="8"/>
        <v>477.43461087759351</v>
      </c>
      <c r="F148">
        <f t="shared" si="9"/>
        <v>191435.54609783372</v>
      </c>
    </row>
    <row r="149" spans="1:6">
      <c r="A149">
        <f t="shared" si="10"/>
        <v>148</v>
      </c>
      <c r="B149">
        <f t="shared" si="11"/>
        <v>191435.54609783372</v>
      </c>
      <c r="C149">
        <f>C2</f>
        <v>1516.963256383113</v>
      </c>
      <c r="D149">
        <f>B149*[1]Inputs!B12/12</f>
        <v>1036.9425413632659</v>
      </c>
      <c r="E149">
        <f t="shared" si="8"/>
        <v>480.0207150198471</v>
      </c>
      <c r="F149">
        <f t="shared" si="9"/>
        <v>190955.52538281388</v>
      </c>
    </row>
    <row r="150" spans="1:6">
      <c r="A150">
        <f t="shared" si="10"/>
        <v>149</v>
      </c>
      <c r="B150">
        <f t="shared" si="11"/>
        <v>190955.52538281388</v>
      </c>
      <c r="C150">
        <f>C2</f>
        <v>1516.963256383113</v>
      </c>
      <c r="D150">
        <f>B150*[1]Inputs!B12/12</f>
        <v>1034.3424291569086</v>
      </c>
      <c r="E150">
        <f t="shared" si="8"/>
        <v>482.62082722620448</v>
      </c>
      <c r="F150">
        <f t="shared" si="9"/>
        <v>190472.90455558768</v>
      </c>
    </row>
    <row r="151" spans="1:6">
      <c r="A151">
        <f t="shared" si="10"/>
        <v>150</v>
      </c>
      <c r="B151">
        <f t="shared" si="11"/>
        <v>190472.90455558768</v>
      </c>
      <c r="C151">
        <f>C2</f>
        <v>1516.963256383113</v>
      </c>
      <c r="D151">
        <f>B151*[1]Inputs!B12/12</f>
        <v>1031.7282330094333</v>
      </c>
      <c r="E151">
        <f t="shared" si="8"/>
        <v>485.23502337367972</v>
      </c>
      <c r="F151">
        <f t="shared" si="9"/>
        <v>189987.669532214</v>
      </c>
    </row>
    <row r="152" spans="1:6">
      <c r="A152">
        <f t="shared" si="10"/>
        <v>151</v>
      </c>
      <c r="B152">
        <f t="shared" si="11"/>
        <v>189987.669532214</v>
      </c>
      <c r="C152">
        <f>C2</f>
        <v>1516.963256383113</v>
      </c>
      <c r="D152">
        <f>B152*[1]Inputs!B12/12</f>
        <v>1029.099876632826</v>
      </c>
      <c r="E152">
        <f t="shared" si="8"/>
        <v>487.86337975028709</v>
      </c>
      <c r="F152">
        <f t="shared" si="9"/>
        <v>189499.80615246372</v>
      </c>
    </row>
    <row r="153" spans="1:6">
      <c r="A153">
        <f t="shared" si="10"/>
        <v>152</v>
      </c>
      <c r="B153">
        <f t="shared" si="11"/>
        <v>189499.80615246372</v>
      </c>
      <c r="C153">
        <f>C2</f>
        <v>1516.963256383113</v>
      </c>
      <c r="D153">
        <f>B153*[1]Inputs!B12/12</f>
        <v>1026.4572833258451</v>
      </c>
      <c r="E153">
        <f t="shared" si="8"/>
        <v>490.50597305726797</v>
      </c>
      <c r="F153">
        <f t="shared" si="9"/>
        <v>189009.30017940645</v>
      </c>
    </row>
    <row r="154" spans="1:6">
      <c r="A154">
        <f t="shared" si="10"/>
        <v>153</v>
      </c>
      <c r="B154">
        <f t="shared" si="11"/>
        <v>189009.30017940645</v>
      </c>
      <c r="C154">
        <f>C2</f>
        <v>1516.963256383113</v>
      </c>
      <c r="D154">
        <f>B154*[1]Inputs!B12/12</f>
        <v>1023.8003759717849</v>
      </c>
      <c r="E154">
        <f t="shared" si="8"/>
        <v>493.16288041132816</v>
      </c>
      <c r="F154">
        <f t="shared" si="9"/>
        <v>188516.13729899511</v>
      </c>
    </row>
    <row r="155" spans="1:6">
      <c r="A155">
        <f t="shared" si="10"/>
        <v>154</v>
      </c>
      <c r="B155">
        <f t="shared" si="11"/>
        <v>188516.13729899511</v>
      </c>
      <c r="C155">
        <f>C2</f>
        <v>1516.963256383113</v>
      </c>
      <c r="D155">
        <f>B155*[1]Inputs!B12/12</f>
        <v>1021.1290770362235</v>
      </c>
      <c r="E155">
        <f t="shared" si="8"/>
        <v>495.83417934688953</v>
      </c>
      <c r="F155">
        <f t="shared" si="9"/>
        <v>188020.30311964822</v>
      </c>
    </row>
    <row r="156" spans="1:6">
      <c r="A156">
        <f t="shared" si="10"/>
        <v>155</v>
      </c>
      <c r="B156">
        <f t="shared" si="11"/>
        <v>188020.30311964822</v>
      </c>
      <c r="C156">
        <f>C2</f>
        <v>1516.963256383113</v>
      </c>
      <c r="D156">
        <f>B156*[1]Inputs!B12/12</f>
        <v>1018.4433085647612</v>
      </c>
      <c r="E156">
        <f t="shared" si="8"/>
        <v>498.51994781835185</v>
      </c>
      <c r="F156">
        <f t="shared" si="9"/>
        <v>187521.78317182985</v>
      </c>
    </row>
    <row r="157" spans="1:6">
      <c r="A157">
        <f t="shared" si="10"/>
        <v>156</v>
      </c>
      <c r="B157">
        <f t="shared" si="11"/>
        <v>187521.78317182985</v>
      </c>
      <c r="C157">
        <f>C2</f>
        <v>1516.963256383113</v>
      </c>
      <c r="D157">
        <f>B157*[1]Inputs!B12/12</f>
        <v>1015.7429921807451</v>
      </c>
      <c r="E157">
        <f t="shared" si="8"/>
        <v>501.22026420236796</v>
      </c>
      <c r="F157">
        <f t="shared" si="9"/>
        <v>187020.56290762749</v>
      </c>
    </row>
    <row r="158" spans="1:6">
      <c r="A158">
        <f t="shared" si="10"/>
        <v>157</v>
      </c>
      <c r="B158">
        <f t="shared" si="11"/>
        <v>187020.56290762749</v>
      </c>
      <c r="C158">
        <f>C2</f>
        <v>1516.963256383113</v>
      </c>
      <c r="D158">
        <f>B158*[1]Inputs!B12/12</f>
        <v>1013.0280490829823</v>
      </c>
      <c r="E158">
        <f t="shared" si="8"/>
        <v>503.93520730013074</v>
      </c>
      <c r="F158">
        <f t="shared" si="9"/>
        <v>186516.62770032737</v>
      </c>
    </row>
    <row r="159" spans="1:6">
      <c r="A159">
        <f t="shared" si="10"/>
        <v>158</v>
      </c>
      <c r="B159">
        <f t="shared" si="11"/>
        <v>186516.62770032737</v>
      </c>
      <c r="C159">
        <f>C2</f>
        <v>1516.963256383113</v>
      </c>
      <c r="D159">
        <f>B159*[1]Inputs!B12/12</f>
        <v>1010.29840004344</v>
      </c>
      <c r="E159">
        <f t="shared" si="8"/>
        <v>506.66485633967307</v>
      </c>
      <c r="F159">
        <f t="shared" si="9"/>
        <v>186009.96284398771</v>
      </c>
    </row>
    <row r="160" spans="1:6">
      <c r="A160">
        <f t="shared" si="10"/>
        <v>159</v>
      </c>
      <c r="B160">
        <f t="shared" si="11"/>
        <v>186009.96284398771</v>
      </c>
      <c r="C160">
        <f>C2</f>
        <v>1516.963256383113</v>
      </c>
      <c r="D160">
        <f>B160*[1]Inputs!B12/12</f>
        <v>1007.5539654049335</v>
      </c>
      <c r="E160">
        <f t="shared" si="8"/>
        <v>509.40929097817957</v>
      </c>
      <c r="F160">
        <f t="shared" si="9"/>
        <v>185500.55355300952</v>
      </c>
    </row>
    <row r="161" spans="1:6">
      <c r="A161">
        <f t="shared" si="10"/>
        <v>160</v>
      </c>
      <c r="B161">
        <f t="shared" si="11"/>
        <v>185500.55355300952</v>
      </c>
      <c r="C161">
        <f>C2</f>
        <v>1516.963256383113</v>
      </c>
      <c r="D161">
        <f>B161*[1]Inputs!B12/12</f>
        <v>1004.7946650788016</v>
      </c>
      <c r="E161">
        <f t="shared" si="8"/>
        <v>512.16859130431146</v>
      </c>
      <c r="F161">
        <f t="shared" si="9"/>
        <v>184988.38496170522</v>
      </c>
    </row>
    <row r="162" spans="1:6">
      <c r="A162">
        <f t="shared" si="10"/>
        <v>161</v>
      </c>
      <c r="B162">
        <f t="shared" si="11"/>
        <v>184988.38496170522</v>
      </c>
      <c r="C162">
        <f>C2</f>
        <v>1516.963256383113</v>
      </c>
      <c r="D162">
        <f>B162*[1]Inputs!B12/12</f>
        <v>1002.02041854257</v>
      </c>
      <c r="E162">
        <f t="shared" si="8"/>
        <v>514.94283784054301</v>
      </c>
      <c r="F162">
        <f t="shared" si="9"/>
        <v>184473.44212386466</v>
      </c>
    </row>
    <row r="163" spans="1:6">
      <c r="A163">
        <f t="shared" si="10"/>
        <v>162</v>
      </c>
      <c r="B163">
        <f t="shared" si="11"/>
        <v>184473.44212386466</v>
      </c>
      <c r="C163">
        <f>C2</f>
        <v>1516.963256383113</v>
      </c>
      <c r="D163">
        <f>B163*[1]Inputs!B12/12</f>
        <v>999.23114483760025</v>
      </c>
      <c r="E163">
        <f t="shared" si="8"/>
        <v>517.73211154551279</v>
      </c>
      <c r="F163">
        <f t="shared" si="9"/>
        <v>183955.71001231915</v>
      </c>
    </row>
    <row r="164" spans="1:6">
      <c r="A164">
        <f t="shared" si="10"/>
        <v>163</v>
      </c>
      <c r="B164">
        <f t="shared" si="11"/>
        <v>183955.71001231915</v>
      </c>
      <c r="C164">
        <f>C2</f>
        <v>1516.963256383113</v>
      </c>
      <c r="D164">
        <f>B164*[1]Inputs!B12/12</f>
        <v>996.42676256672883</v>
      </c>
      <c r="E164">
        <f t="shared" si="8"/>
        <v>520.53649381638422</v>
      </c>
      <c r="F164">
        <f t="shared" si="9"/>
        <v>183435.17351850276</v>
      </c>
    </row>
    <row r="165" spans="1:6">
      <c r="A165">
        <f t="shared" si="10"/>
        <v>164</v>
      </c>
      <c r="B165">
        <f t="shared" si="11"/>
        <v>183435.17351850276</v>
      </c>
      <c r="C165">
        <f>C2</f>
        <v>1516.963256383113</v>
      </c>
      <c r="D165">
        <f>B165*[1]Inputs!B12/12</f>
        <v>993.60718989189002</v>
      </c>
      <c r="E165">
        <f t="shared" si="8"/>
        <v>523.35606649122303</v>
      </c>
      <c r="F165">
        <f t="shared" si="9"/>
        <v>182911.81745201154</v>
      </c>
    </row>
    <row r="166" spans="1:6">
      <c r="A166">
        <f t="shared" si="10"/>
        <v>165</v>
      </c>
      <c r="B166">
        <f t="shared" si="11"/>
        <v>182911.81745201154</v>
      </c>
      <c r="C166">
        <f>C2</f>
        <v>1516.963256383113</v>
      </c>
      <c r="D166">
        <f>B166*[1]Inputs!B12/12</f>
        <v>990.77234453172923</v>
      </c>
      <c r="E166">
        <f t="shared" si="8"/>
        <v>526.19091185138382</v>
      </c>
      <c r="F166">
        <f t="shared" si="9"/>
        <v>182385.62654016016</v>
      </c>
    </row>
    <row r="167" spans="1:6">
      <c r="A167">
        <f t="shared" si="10"/>
        <v>166</v>
      </c>
      <c r="B167">
        <f t="shared" si="11"/>
        <v>182385.62654016016</v>
      </c>
      <c r="C167">
        <f>C2</f>
        <v>1516.963256383113</v>
      </c>
      <c r="D167">
        <f>B167*[1]Inputs!B12/12</f>
        <v>987.92214375920094</v>
      </c>
      <c r="E167">
        <f t="shared" si="8"/>
        <v>529.04111262391211</v>
      </c>
      <c r="F167">
        <f t="shared" si="9"/>
        <v>181856.58542753625</v>
      </c>
    </row>
    <row r="168" spans="1:6">
      <c r="A168">
        <f t="shared" si="10"/>
        <v>167</v>
      </c>
      <c r="B168">
        <f t="shared" si="11"/>
        <v>181856.58542753625</v>
      </c>
      <c r="C168">
        <f>C2</f>
        <v>1516.963256383113</v>
      </c>
      <c r="D168">
        <f>B168*[1]Inputs!B12/12</f>
        <v>985.05650439915473</v>
      </c>
      <c r="E168">
        <f t="shared" si="8"/>
        <v>531.90675198395832</v>
      </c>
      <c r="F168">
        <f t="shared" si="9"/>
        <v>181324.67867555231</v>
      </c>
    </row>
    <row r="169" spans="1:6">
      <c r="A169">
        <f t="shared" si="10"/>
        <v>168</v>
      </c>
      <c r="B169">
        <f t="shared" si="11"/>
        <v>181324.67867555231</v>
      </c>
      <c r="C169">
        <f>C2</f>
        <v>1516.963256383113</v>
      </c>
      <c r="D169">
        <f>B169*[1]Inputs!B12/12</f>
        <v>982.17534282590839</v>
      </c>
      <c r="E169">
        <f t="shared" si="8"/>
        <v>534.78791355720466</v>
      </c>
      <c r="F169">
        <f t="shared" si="9"/>
        <v>180789.89076199511</v>
      </c>
    </row>
    <row r="170" spans="1:6">
      <c r="A170">
        <f t="shared" si="10"/>
        <v>169</v>
      </c>
      <c r="B170">
        <f t="shared" si="11"/>
        <v>180789.89076199511</v>
      </c>
      <c r="C170">
        <f>C2</f>
        <v>1516.963256383113</v>
      </c>
      <c r="D170">
        <f>B170*[1]Inputs!B12/12</f>
        <v>979.27857496080685</v>
      </c>
      <c r="E170">
        <f t="shared" si="8"/>
        <v>537.6846814223062</v>
      </c>
      <c r="F170">
        <f t="shared" si="9"/>
        <v>180252.2060805728</v>
      </c>
    </row>
    <row r="171" spans="1:6">
      <c r="A171">
        <f t="shared" si="10"/>
        <v>170</v>
      </c>
      <c r="B171">
        <f t="shared" si="11"/>
        <v>180252.2060805728</v>
      </c>
      <c r="C171">
        <f>C2</f>
        <v>1516.963256383113</v>
      </c>
      <c r="D171">
        <f>B171*[1]Inputs!B12/12</f>
        <v>976.36611626976935</v>
      </c>
      <c r="E171">
        <f t="shared" si="8"/>
        <v>540.5971401133437</v>
      </c>
      <c r="F171">
        <f t="shared" si="9"/>
        <v>179711.60894045944</v>
      </c>
    </row>
    <row r="172" spans="1:6">
      <c r="A172">
        <f t="shared" si="10"/>
        <v>171</v>
      </c>
      <c r="B172">
        <f t="shared" si="11"/>
        <v>179711.60894045944</v>
      </c>
      <c r="C172">
        <f>C2</f>
        <v>1516.963256383113</v>
      </c>
      <c r="D172">
        <f>B172*[1]Inputs!B12/12</f>
        <v>973.43788176082205</v>
      </c>
      <c r="E172">
        <f t="shared" si="8"/>
        <v>543.525374622291</v>
      </c>
      <c r="F172">
        <f t="shared" si="9"/>
        <v>179168.08356583715</v>
      </c>
    </row>
    <row r="173" spans="1:6">
      <c r="A173">
        <f t="shared" si="10"/>
        <v>172</v>
      </c>
      <c r="B173">
        <f t="shared" si="11"/>
        <v>179168.08356583715</v>
      </c>
      <c r="C173">
        <f>C2</f>
        <v>1516.963256383113</v>
      </c>
      <c r="D173">
        <f>B173*[1]Inputs!B12/12</f>
        <v>970.49378598161786</v>
      </c>
      <c r="E173">
        <f t="shared" si="8"/>
        <v>546.46947040149519</v>
      </c>
      <c r="F173">
        <f t="shared" si="9"/>
        <v>178621.61409543565</v>
      </c>
    </row>
    <row r="174" spans="1:6">
      <c r="A174">
        <f t="shared" si="10"/>
        <v>173</v>
      </c>
      <c r="B174">
        <f t="shared" si="11"/>
        <v>178621.61409543565</v>
      </c>
      <c r="C174">
        <f>C2</f>
        <v>1516.963256383113</v>
      </c>
      <c r="D174">
        <f>B174*[1]Inputs!B12/12</f>
        <v>967.53374301694305</v>
      </c>
      <c r="E174">
        <f t="shared" si="8"/>
        <v>549.42951336617</v>
      </c>
      <c r="F174">
        <f t="shared" si="9"/>
        <v>178072.18458206949</v>
      </c>
    </row>
    <row r="175" spans="1:6">
      <c r="A175">
        <f t="shared" si="10"/>
        <v>174</v>
      </c>
      <c r="B175">
        <f t="shared" si="11"/>
        <v>178072.18458206949</v>
      </c>
      <c r="C175">
        <f>C2</f>
        <v>1516.963256383113</v>
      </c>
      <c r="D175">
        <f>B175*[1]Inputs!B12/12</f>
        <v>964.55766648620977</v>
      </c>
      <c r="E175">
        <f t="shared" si="8"/>
        <v>552.40558989690328</v>
      </c>
      <c r="F175">
        <f t="shared" si="9"/>
        <v>177519.77899217259</v>
      </c>
    </row>
    <row r="176" spans="1:6">
      <c r="A176">
        <f t="shared" si="10"/>
        <v>175</v>
      </c>
      <c r="B176">
        <f t="shared" si="11"/>
        <v>177519.77899217259</v>
      </c>
      <c r="C176">
        <f>C2</f>
        <v>1516.963256383113</v>
      </c>
      <c r="D176">
        <f>B176*[1]Inputs!B12/12</f>
        <v>961.56546954093494</v>
      </c>
      <c r="E176">
        <f t="shared" si="8"/>
        <v>555.39778684217811</v>
      </c>
      <c r="F176">
        <f t="shared" si="9"/>
        <v>176964.38120533043</v>
      </c>
    </row>
    <row r="177" spans="1:6">
      <c r="A177">
        <f t="shared" si="10"/>
        <v>176</v>
      </c>
      <c r="B177">
        <f t="shared" si="11"/>
        <v>176964.38120533043</v>
      </c>
      <c r="C177">
        <f>C2</f>
        <v>1516.963256383113</v>
      </c>
      <c r="D177">
        <f>B177*[1]Inputs!B12/12</f>
        <v>958.55706486220652</v>
      </c>
      <c r="E177">
        <f t="shared" si="8"/>
        <v>558.40619152090653</v>
      </c>
      <c r="F177">
        <f t="shared" si="9"/>
        <v>176405.97501380951</v>
      </c>
    </row>
    <row r="178" spans="1:6">
      <c r="A178">
        <f t="shared" si="10"/>
        <v>177</v>
      </c>
      <c r="B178">
        <f t="shared" si="11"/>
        <v>176405.97501380951</v>
      </c>
      <c r="C178">
        <f>C2</f>
        <v>1516.963256383113</v>
      </c>
      <c r="D178">
        <f>B178*[1]Inputs!B12/12</f>
        <v>955.53236465813495</v>
      </c>
      <c r="E178">
        <f t="shared" si="8"/>
        <v>561.4308917249781</v>
      </c>
      <c r="F178">
        <f t="shared" si="9"/>
        <v>175844.54412208454</v>
      </c>
    </row>
    <row r="179" spans="1:6">
      <c r="A179">
        <f t="shared" si="10"/>
        <v>178</v>
      </c>
      <c r="B179">
        <f t="shared" si="11"/>
        <v>175844.54412208454</v>
      </c>
      <c r="C179">
        <f>C2</f>
        <v>1516.963256383113</v>
      </c>
      <c r="D179">
        <f>B179*[1]Inputs!B12/12</f>
        <v>952.49128066129117</v>
      </c>
      <c r="E179">
        <f t="shared" si="8"/>
        <v>564.47197572182188</v>
      </c>
      <c r="F179">
        <f t="shared" si="9"/>
        <v>175280.07214636271</v>
      </c>
    </row>
    <row r="180" spans="1:6">
      <c r="A180">
        <f t="shared" si="10"/>
        <v>179</v>
      </c>
      <c r="B180">
        <f t="shared" si="11"/>
        <v>175280.07214636271</v>
      </c>
      <c r="C180">
        <f>C2</f>
        <v>1516.963256383113</v>
      </c>
      <c r="D180">
        <f>B180*[1]Inputs!B12/12</f>
        <v>949.43372412613144</v>
      </c>
      <c r="E180">
        <f t="shared" si="8"/>
        <v>567.52953225698161</v>
      </c>
      <c r="F180">
        <f t="shared" si="9"/>
        <v>174712.54261410574</v>
      </c>
    </row>
    <row r="181" spans="1:6">
      <c r="A181">
        <f t="shared" si="10"/>
        <v>180</v>
      </c>
      <c r="B181">
        <f t="shared" si="11"/>
        <v>174712.54261410574</v>
      </c>
      <c r="C181">
        <f>C2</f>
        <v>1516.963256383113</v>
      </c>
      <c r="D181">
        <f>B181*[1]Inputs!B12/12</f>
        <v>946.3596058264061</v>
      </c>
      <c r="E181">
        <f t="shared" si="8"/>
        <v>570.60365055670695</v>
      </c>
      <c r="F181">
        <f t="shared" si="9"/>
        <v>174141.93896354904</v>
      </c>
    </row>
    <row r="182" spans="1:6">
      <c r="A182">
        <f t="shared" si="10"/>
        <v>181</v>
      </c>
      <c r="B182">
        <f t="shared" si="11"/>
        <v>174141.93896354904</v>
      </c>
      <c r="C182">
        <f>C2</f>
        <v>1516.963256383113</v>
      </c>
      <c r="D182">
        <f>B182*[1]Inputs!B12/12</f>
        <v>943.26883605255728</v>
      </c>
      <c r="E182">
        <f t="shared" si="8"/>
        <v>573.69442033055577</v>
      </c>
      <c r="F182">
        <f t="shared" si="9"/>
        <v>173568.24454321849</v>
      </c>
    </row>
    <row r="183" spans="1:6">
      <c r="A183">
        <f t="shared" si="10"/>
        <v>182</v>
      </c>
      <c r="B183">
        <f t="shared" si="11"/>
        <v>173568.24454321849</v>
      </c>
      <c r="C183">
        <f>C2</f>
        <v>1516.963256383113</v>
      </c>
      <c r="D183">
        <f>B183*[1]Inputs!B12/12</f>
        <v>940.16132460910012</v>
      </c>
      <c r="E183">
        <f t="shared" si="8"/>
        <v>576.80193177401293</v>
      </c>
      <c r="F183">
        <f t="shared" si="9"/>
        <v>172991.44261144448</v>
      </c>
    </row>
    <row r="184" spans="1:6">
      <c r="A184">
        <f t="shared" si="10"/>
        <v>183</v>
      </c>
      <c r="B184">
        <f t="shared" si="11"/>
        <v>172991.44261144448</v>
      </c>
      <c r="C184">
        <f>C2</f>
        <v>1516.963256383113</v>
      </c>
      <c r="D184">
        <f>B184*[1]Inputs!B12/12</f>
        <v>937.03698081199093</v>
      </c>
      <c r="E184">
        <f t="shared" si="8"/>
        <v>579.92627557112212</v>
      </c>
      <c r="F184">
        <f t="shared" si="9"/>
        <v>172411.51633587337</v>
      </c>
    </row>
    <row r="185" spans="1:6">
      <c r="A185">
        <f t="shared" si="10"/>
        <v>184</v>
      </c>
      <c r="B185">
        <f t="shared" si="11"/>
        <v>172411.51633587337</v>
      </c>
      <c r="C185">
        <f>C2</f>
        <v>1516.963256383113</v>
      </c>
      <c r="D185">
        <f>B185*[1]Inputs!B12/12</f>
        <v>933.89571348598076</v>
      </c>
      <c r="E185">
        <f t="shared" si="8"/>
        <v>583.06754289713228</v>
      </c>
      <c r="F185">
        <f t="shared" si="9"/>
        <v>171828.44879297624</v>
      </c>
    </row>
    <row r="186" spans="1:6">
      <c r="A186">
        <f t="shared" si="10"/>
        <v>185</v>
      </c>
      <c r="B186">
        <f t="shared" si="11"/>
        <v>171828.44879297624</v>
      </c>
      <c r="C186">
        <f>C2</f>
        <v>1516.963256383113</v>
      </c>
      <c r="D186">
        <f>B186*[1]Inputs!B12/12</f>
        <v>930.7374309619546</v>
      </c>
      <c r="E186">
        <f t="shared" si="8"/>
        <v>586.22582542115845</v>
      </c>
      <c r="F186">
        <f t="shared" si="9"/>
        <v>171242.22296755508</v>
      </c>
    </row>
    <row r="187" spans="1:6">
      <c r="A187">
        <f t="shared" si="10"/>
        <v>186</v>
      </c>
      <c r="B187">
        <f t="shared" si="11"/>
        <v>171242.22296755508</v>
      </c>
      <c r="C187">
        <f>C2</f>
        <v>1516.963256383113</v>
      </c>
      <c r="D187">
        <f>B187*[1]Inputs!B12/12</f>
        <v>927.56204107425674</v>
      </c>
      <c r="E187">
        <f t="shared" si="8"/>
        <v>589.40121530885631</v>
      </c>
      <c r="F187">
        <f t="shared" si="9"/>
        <v>170652.82175224621</v>
      </c>
    </row>
    <row r="188" spans="1:6">
      <c r="A188">
        <f t="shared" si="10"/>
        <v>187</v>
      </c>
      <c r="B188">
        <f t="shared" si="11"/>
        <v>170652.82175224621</v>
      </c>
      <c r="C188">
        <f>C2</f>
        <v>1516.963256383113</v>
      </c>
      <c r="D188">
        <f>B188*[1]Inputs!B12/12</f>
        <v>924.36945115800029</v>
      </c>
      <c r="E188">
        <f t="shared" si="8"/>
        <v>592.59380522511276</v>
      </c>
      <c r="F188">
        <f t="shared" si="9"/>
        <v>170060.22794702111</v>
      </c>
    </row>
    <row r="189" spans="1:6">
      <c r="A189">
        <f t="shared" si="10"/>
        <v>188</v>
      </c>
      <c r="B189">
        <f t="shared" si="11"/>
        <v>170060.22794702111</v>
      </c>
      <c r="C189">
        <f>C2</f>
        <v>1516.963256383113</v>
      </c>
      <c r="D189">
        <f>B189*[1]Inputs!B12/12</f>
        <v>921.15956804636437</v>
      </c>
      <c r="E189">
        <f t="shared" si="8"/>
        <v>595.80368833674868</v>
      </c>
      <c r="F189">
        <f t="shared" si="9"/>
        <v>169464.42425868436</v>
      </c>
    </row>
    <row r="190" spans="1:6">
      <c r="A190">
        <f t="shared" si="10"/>
        <v>189</v>
      </c>
      <c r="B190">
        <f t="shared" si="11"/>
        <v>169464.42425868436</v>
      </c>
      <c r="C190">
        <f>C2</f>
        <v>1516.963256383113</v>
      </c>
      <c r="D190">
        <f>B190*[1]Inputs!B12/12</f>
        <v>917.9322980678736</v>
      </c>
      <c r="E190">
        <f t="shared" si="8"/>
        <v>599.03095831523945</v>
      </c>
      <c r="F190">
        <f t="shared" si="9"/>
        <v>168865.39330036912</v>
      </c>
    </row>
    <row r="191" spans="1:6">
      <c r="A191">
        <f t="shared" si="10"/>
        <v>190</v>
      </c>
      <c r="B191">
        <f t="shared" si="11"/>
        <v>168865.39330036912</v>
      </c>
      <c r="C191">
        <f>C2</f>
        <v>1516.963256383113</v>
      </c>
      <c r="D191">
        <f>B191*[1]Inputs!B12/12</f>
        <v>914.68754704366609</v>
      </c>
      <c r="E191">
        <f t="shared" si="8"/>
        <v>602.27570933944696</v>
      </c>
      <c r="F191">
        <f t="shared" si="9"/>
        <v>168263.11759102967</v>
      </c>
    </row>
    <row r="192" spans="1:6">
      <c r="A192">
        <f t="shared" si="10"/>
        <v>191</v>
      </c>
      <c r="B192">
        <f t="shared" si="11"/>
        <v>168263.11759102967</v>
      </c>
      <c r="C192">
        <f>C2</f>
        <v>1516.963256383113</v>
      </c>
      <c r="D192">
        <f>B192*[1]Inputs!B12/12</f>
        <v>911.42522028474411</v>
      </c>
      <c r="E192">
        <f t="shared" si="8"/>
        <v>605.53803609836893</v>
      </c>
      <c r="F192">
        <f t="shared" si="9"/>
        <v>167657.57955493132</v>
      </c>
    </row>
    <row r="193" spans="1:6">
      <c r="A193">
        <f t="shared" si="10"/>
        <v>192</v>
      </c>
      <c r="B193">
        <f t="shared" si="11"/>
        <v>167657.57955493132</v>
      </c>
      <c r="C193">
        <f>C2</f>
        <v>1516.963256383113</v>
      </c>
      <c r="D193">
        <f>B193*[1]Inputs!B12/12</f>
        <v>908.14522258921136</v>
      </c>
      <c r="E193">
        <f t="shared" si="8"/>
        <v>608.81803379390169</v>
      </c>
      <c r="F193">
        <f t="shared" si="9"/>
        <v>167048.76152113741</v>
      </c>
    </row>
    <row r="194" spans="1:6">
      <c r="A194">
        <f t="shared" si="10"/>
        <v>193</v>
      </c>
      <c r="B194">
        <f t="shared" si="11"/>
        <v>167048.76152113741</v>
      </c>
      <c r="C194">
        <f>C2</f>
        <v>1516.963256383113</v>
      </c>
      <c r="D194">
        <f>B194*[1]Inputs!B12/12</f>
        <v>904.84745823949424</v>
      </c>
      <c r="E194">
        <f t="shared" ref="E194:E257" si="12">C194-D194</f>
        <v>612.1157981436188</v>
      </c>
      <c r="F194">
        <f t="shared" ref="F194:F257" si="13">B194-E194</f>
        <v>166436.6457229938</v>
      </c>
    </row>
    <row r="195" spans="1:6">
      <c r="A195">
        <f t="shared" ref="A195:A258" si="14">A194+1</f>
        <v>194</v>
      </c>
      <c r="B195">
        <f t="shared" ref="B195:B258" si="15">F194</f>
        <v>166436.6457229938</v>
      </c>
      <c r="C195">
        <f>C2</f>
        <v>1516.963256383113</v>
      </c>
      <c r="D195">
        <f>B195*[1]Inputs!B12/12</f>
        <v>901.5318309995497</v>
      </c>
      <c r="E195">
        <f t="shared" si="12"/>
        <v>615.43142538356335</v>
      </c>
      <c r="F195">
        <f t="shared" si="13"/>
        <v>165821.21429761022</v>
      </c>
    </row>
    <row r="196" spans="1:6">
      <c r="A196">
        <f t="shared" si="14"/>
        <v>195</v>
      </c>
      <c r="B196">
        <f t="shared" si="15"/>
        <v>165821.21429761022</v>
      </c>
      <c r="C196">
        <f>C2</f>
        <v>1516.963256383113</v>
      </c>
      <c r="D196">
        <f>B196*[1]Inputs!B12/12</f>
        <v>898.19824411205536</v>
      </c>
      <c r="E196">
        <f t="shared" si="12"/>
        <v>618.76501227105769</v>
      </c>
      <c r="F196">
        <f t="shared" si="13"/>
        <v>165202.44928533916</v>
      </c>
    </row>
    <row r="197" spans="1:6">
      <c r="A197">
        <f t="shared" si="14"/>
        <v>196</v>
      </c>
      <c r="B197">
        <f t="shared" si="15"/>
        <v>165202.44928533916</v>
      </c>
      <c r="C197">
        <f>C2</f>
        <v>1516.963256383113</v>
      </c>
      <c r="D197">
        <f>B197*[1]Inputs!B12/12</f>
        <v>894.84660029558711</v>
      </c>
      <c r="E197">
        <f t="shared" si="12"/>
        <v>622.11665608752594</v>
      </c>
      <c r="F197">
        <f t="shared" si="13"/>
        <v>164580.33262925164</v>
      </c>
    </row>
    <row r="198" spans="1:6">
      <c r="A198">
        <f t="shared" si="14"/>
        <v>197</v>
      </c>
      <c r="B198">
        <f t="shared" si="15"/>
        <v>164580.33262925164</v>
      </c>
      <c r="C198">
        <f>C2</f>
        <v>1516.963256383113</v>
      </c>
      <c r="D198">
        <f>B198*[1]Inputs!B12/12</f>
        <v>891.4768017417797</v>
      </c>
      <c r="E198">
        <f t="shared" si="12"/>
        <v>625.48645464133335</v>
      </c>
      <c r="F198">
        <f t="shared" si="13"/>
        <v>163954.84617461031</v>
      </c>
    </row>
    <row r="199" spans="1:6">
      <c r="A199">
        <f t="shared" si="14"/>
        <v>198</v>
      </c>
      <c r="B199">
        <f t="shared" si="15"/>
        <v>163954.84617461031</v>
      </c>
      <c r="C199">
        <f>C2</f>
        <v>1516.963256383113</v>
      </c>
      <c r="D199">
        <f>B199*[1]Inputs!B12/12</f>
        <v>888.08875011247255</v>
      </c>
      <c r="E199">
        <f t="shared" si="12"/>
        <v>628.8745062706405</v>
      </c>
      <c r="F199">
        <f t="shared" si="13"/>
        <v>163325.97166833968</v>
      </c>
    </row>
    <row r="200" spans="1:6">
      <c r="A200">
        <f t="shared" si="14"/>
        <v>199</v>
      </c>
      <c r="B200">
        <f t="shared" si="15"/>
        <v>163325.97166833968</v>
      </c>
      <c r="C200">
        <f>C2</f>
        <v>1516.963256383113</v>
      </c>
      <c r="D200">
        <f>B200*[1]Inputs!B12/12</f>
        <v>884.68234653683987</v>
      </c>
      <c r="E200">
        <f t="shared" si="12"/>
        <v>632.28090984627318</v>
      </c>
      <c r="F200">
        <f t="shared" si="13"/>
        <v>162693.69075849341</v>
      </c>
    </row>
    <row r="201" spans="1:6">
      <c r="A201">
        <f t="shared" si="14"/>
        <v>200</v>
      </c>
      <c r="B201">
        <f t="shared" si="15"/>
        <v>162693.69075849341</v>
      </c>
      <c r="C201">
        <f>C2</f>
        <v>1516.963256383113</v>
      </c>
      <c r="D201">
        <f>B201*[1]Inputs!B12/12</f>
        <v>881.25749160850603</v>
      </c>
      <c r="E201">
        <f t="shared" si="12"/>
        <v>635.70576477460702</v>
      </c>
      <c r="F201">
        <f t="shared" si="13"/>
        <v>162057.9849937188</v>
      </c>
    </row>
    <row r="202" spans="1:6">
      <c r="A202">
        <f t="shared" si="14"/>
        <v>201</v>
      </c>
      <c r="B202">
        <f t="shared" si="15"/>
        <v>162057.9849937188</v>
      </c>
      <c r="C202">
        <f>C2</f>
        <v>1516.963256383113</v>
      </c>
      <c r="D202">
        <f>B202*[1]Inputs!B12/12</f>
        <v>877.8140853826435</v>
      </c>
      <c r="E202">
        <f t="shared" si="12"/>
        <v>639.14917100046955</v>
      </c>
      <c r="F202">
        <f t="shared" si="13"/>
        <v>161418.83582271833</v>
      </c>
    </row>
    <row r="203" spans="1:6">
      <c r="A203">
        <f t="shared" si="14"/>
        <v>202</v>
      </c>
      <c r="B203">
        <f t="shared" si="15"/>
        <v>161418.83582271833</v>
      </c>
      <c r="C203">
        <f>C2</f>
        <v>1516.963256383113</v>
      </c>
      <c r="D203">
        <f>B203*[1]Inputs!B12/12</f>
        <v>874.35202737305769</v>
      </c>
      <c r="E203">
        <f t="shared" si="12"/>
        <v>642.61122901005535</v>
      </c>
      <c r="F203">
        <f t="shared" si="13"/>
        <v>160776.22459370829</v>
      </c>
    </row>
    <row r="204" spans="1:6">
      <c r="A204">
        <f t="shared" si="14"/>
        <v>203</v>
      </c>
      <c r="B204">
        <f t="shared" si="15"/>
        <v>160776.22459370829</v>
      </c>
      <c r="C204">
        <f>C2</f>
        <v>1516.963256383113</v>
      </c>
      <c r="D204">
        <f>B204*[1]Inputs!B12/12</f>
        <v>870.87121654925329</v>
      </c>
      <c r="E204">
        <f t="shared" si="12"/>
        <v>646.09203983385976</v>
      </c>
      <c r="F204">
        <f t="shared" si="13"/>
        <v>160130.13255387443</v>
      </c>
    </row>
    <row r="205" spans="1:6">
      <c r="A205">
        <f t="shared" si="14"/>
        <v>204</v>
      </c>
      <c r="B205">
        <f t="shared" si="15"/>
        <v>160130.13255387443</v>
      </c>
      <c r="C205">
        <f>C2</f>
        <v>1516.963256383113</v>
      </c>
      <c r="D205">
        <f>B205*[1]Inputs!B12/12</f>
        <v>867.37155133348654</v>
      </c>
      <c r="E205">
        <f t="shared" si="12"/>
        <v>649.59170504962651</v>
      </c>
      <c r="F205">
        <f t="shared" si="13"/>
        <v>159480.54084882481</v>
      </c>
    </row>
    <row r="206" spans="1:6">
      <c r="A206">
        <f t="shared" si="14"/>
        <v>205</v>
      </c>
      <c r="B206">
        <f t="shared" si="15"/>
        <v>159480.54084882481</v>
      </c>
      <c r="C206">
        <f>C2</f>
        <v>1516.963256383113</v>
      </c>
      <c r="D206">
        <f>B206*[1]Inputs!B12/12</f>
        <v>863.85292959780099</v>
      </c>
      <c r="E206">
        <f t="shared" si="12"/>
        <v>653.11032678531205</v>
      </c>
      <c r="F206">
        <f t="shared" si="13"/>
        <v>158827.4305220395</v>
      </c>
    </row>
    <row r="207" spans="1:6">
      <c r="A207">
        <f t="shared" si="14"/>
        <v>206</v>
      </c>
      <c r="B207">
        <f t="shared" si="15"/>
        <v>158827.4305220395</v>
      </c>
      <c r="C207">
        <f>C2</f>
        <v>1516.963256383113</v>
      </c>
      <c r="D207">
        <f>B207*[1]Inputs!B12/12</f>
        <v>860.31524866104735</v>
      </c>
      <c r="E207">
        <f t="shared" si="12"/>
        <v>656.6480077220657</v>
      </c>
      <c r="F207">
        <f t="shared" si="13"/>
        <v>158170.78251431743</v>
      </c>
    </row>
    <row r="208" spans="1:6">
      <c r="A208">
        <f t="shared" si="14"/>
        <v>207</v>
      </c>
      <c r="B208">
        <f t="shared" si="15"/>
        <v>158170.78251431743</v>
      </c>
      <c r="C208">
        <f>C2</f>
        <v>1516.963256383113</v>
      </c>
      <c r="D208">
        <f>B208*[1]Inputs!B12/12</f>
        <v>856.75840528588606</v>
      </c>
      <c r="E208">
        <f t="shared" si="12"/>
        <v>660.20485109722699</v>
      </c>
      <c r="F208">
        <f t="shared" si="13"/>
        <v>157510.5776632202</v>
      </c>
    </row>
    <row r="209" spans="1:6">
      <c r="A209">
        <f t="shared" si="14"/>
        <v>208</v>
      </c>
      <c r="B209">
        <f t="shared" si="15"/>
        <v>157510.5776632202</v>
      </c>
      <c r="C209">
        <f>C2</f>
        <v>1516.963256383113</v>
      </c>
      <c r="D209">
        <f>B209*[1]Inputs!B12/12</f>
        <v>853.18229567577612</v>
      </c>
      <c r="E209">
        <f t="shared" si="12"/>
        <v>663.78096070733693</v>
      </c>
      <c r="F209">
        <f t="shared" si="13"/>
        <v>156846.79670251286</v>
      </c>
    </row>
    <row r="210" spans="1:6">
      <c r="A210">
        <f t="shared" si="14"/>
        <v>209</v>
      </c>
      <c r="B210">
        <f t="shared" si="15"/>
        <v>156846.79670251286</v>
      </c>
      <c r="C210">
        <f>C2</f>
        <v>1516.963256383113</v>
      </c>
      <c r="D210">
        <f>B210*[1]Inputs!B12/12</f>
        <v>849.58681547194465</v>
      </c>
      <c r="E210">
        <f t="shared" si="12"/>
        <v>667.3764409111684</v>
      </c>
      <c r="F210">
        <f t="shared" si="13"/>
        <v>156179.42026160168</v>
      </c>
    </row>
    <row r="211" spans="1:6">
      <c r="A211">
        <f t="shared" si="14"/>
        <v>210</v>
      </c>
      <c r="B211">
        <f t="shared" si="15"/>
        <v>156179.42026160168</v>
      </c>
      <c r="C211">
        <f>C2</f>
        <v>1516.963256383113</v>
      </c>
      <c r="D211">
        <f>B211*[1]Inputs!B12/12</f>
        <v>845.97185975034245</v>
      </c>
      <c r="E211">
        <f t="shared" si="12"/>
        <v>670.9913966327706</v>
      </c>
      <c r="F211">
        <f t="shared" si="13"/>
        <v>155508.42886496891</v>
      </c>
    </row>
    <row r="212" spans="1:6">
      <c r="A212">
        <f t="shared" si="14"/>
        <v>211</v>
      </c>
      <c r="B212">
        <f t="shared" si="15"/>
        <v>155508.42886496891</v>
      </c>
      <c r="C212">
        <f>C2</f>
        <v>1516.963256383113</v>
      </c>
      <c r="D212">
        <f>B212*[1]Inputs!B12/12</f>
        <v>842.33732301858163</v>
      </c>
      <c r="E212">
        <f t="shared" si="12"/>
        <v>674.62593336453142</v>
      </c>
      <c r="F212">
        <f t="shared" si="13"/>
        <v>154833.80293160438</v>
      </c>
    </row>
    <row r="213" spans="1:6">
      <c r="A213">
        <f t="shared" si="14"/>
        <v>212</v>
      </c>
      <c r="B213">
        <f t="shared" si="15"/>
        <v>154833.80293160438</v>
      </c>
      <c r="C213">
        <f>C2</f>
        <v>1516.963256383113</v>
      </c>
      <c r="D213">
        <f>B213*[1]Inputs!B12/12</f>
        <v>838.68309921285709</v>
      </c>
      <c r="E213">
        <f t="shared" si="12"/>
        <v>678.28015717025596</v>
      </c>
      <c r="F213">
        <f t="shared" si="13"/>
        <v>154155.52277443412</v>
      </c>
    </row>
    <row r="214" spans="1:6">
      <c r="A214">
        <f t="shared" si="14"/>
        <v>213</v>
      </c>
      <c r="B214">
        <f t="shared" si="15"/>
        <v>154155.52277443412</v>
      </c>
      <c r="C214">
        <f>C2</f>
        <v>1516.963256383113</v>
      </c>
      <c r="D214">
        <f>B214*[1]Inputs!B12/12</f>
        <v>835.00908169485149</v>
      </c>
      <c r="E214">
        <f t="shared" si="12"/>
        <v>681.95417468826156</v>
      </c>
      <c r="F214">
        <f t="shared" si="13"/>
        <v>153473.56859974586</v>
      </c>
    </row>
    <row r="215" spans="1:6">
      <c r="A215">
        <f t="shared" si="14"/>
        <v>214</v>
      </c>
      <c r="B215">
        <f t="shared" si="15"/>
        <v>153473.56859974586</v>
      </c>
      <c r="C215">
        <f>C2</f>
        <v>1516.963256383113</v>
      </c>
      <c r="D215">
        <f>B215*[1]Inputs!B12/12</f>
        <v>831.31516324862343</v>
      </c>
      <c r="E215">
        <f t="shared" si="12"/>
        <v>685.64809313448961</v>
      </c>
      <c r="F215">
        <f t="shared" si="13"/>
        <v>152787.92050661138</v>
      </c>
    </row>
    <row r="216" spans="1:6">
      <c r="A216">
        <f t="shared" si="14"/>
        <v>215</v>
      </c>
      <c r="B216">
        <f t="shared" si="15"/>
        <v>152787.92050661138</v>
      </c>
      <c r="C216">
        <f>C2</f>
        <v>1516.963256383113</v>
      </c>
      <c r="D216">
        <f>B216*[1]Inputs!B12/12</f>
        <v>827.60123607747835</v>
      </c>
      <c r="E216">
        <f t="shared" si="12"/>
        <v>689.3620203056347</v>
      </c>
      <c r="F216">
        <f t="shared" si="13"/>
        <v>152098.55848630573</v>
      </c>
    </row>
    <row r="217" spans="1:6">
      <c r="A217">
        <f t="shared" si="14"/>
        <v>216</v>
      </c>
      <c r="B217">
        <f t="shared" si="15"/>
        <v>152098.55848630573</v>
      </c>
      <c r="C217">
        <f>C2</f>
        <v>1516.963256383113</v>
      </c>
      <c r="D217">
        <f>B217*[1]Inputs!B12/12</f>
        <v>823.86719180082275</v>
      </c>
      <c r="E217">
        <f t="shared" si="12"/>
        <v>693.0960645822903</v>
      </c>
      <c r="F217">
        <f t="shared" si="13"/>
        <v>151405.46242172344</v>
      </c>
    </row>
    <row r="218" spans="1:6">
      <c r="A218">
        <f t="shared" si="14"/>
        <v>217</v>
      </c>
      <c r="B218">
        <f t="shared" si="15"/>
        <v>151405.46242172344</v>
      </c>
      <c r="C218">
        <f>C2</f>
        <v>1516.963256383113</v>
      </c>
      <c r="D218">
        <f>B218*[1]Inputs!B12/12</f>
        <v>820.11292145100197</v>
      </c>
      <c r="E218">
        <f t="shared" si="12"/>
        <v>696.85033493211108</v>
      </c>
      <c r="F218">
        <f t="shared" si="13"/>
        <v>150708.61208679131</v>
      </c>
    </row>
    <row r="219" spans="1:6">
      <c r="A219">
        <f t="shared" si="14"/>
        <v>218</v>
      </c>
      <c r="B219">
        <f t="shared" si="15"/>
        <v>150708.61208679131</v>
      </c>
      <c r="C219">
        <f>C2</f>
        <v>1516.963256383113</v>
      </c>
      <c r="D219">
        <f>B219*[1]Inputs!B12/12</f>
        <v>816.3383154701196</v>
      </c>
      <c r="E219">
        <f t="shared" si="12"/>
        <v>700.62494091299345</v>
      </c>
      <c r="F219">
        <f t="shared" si="13"/>
        <v>150007.98714587832</v>
      </c>
    </row>
    <row r="220" spans="1:6">
      <c r="A220">
        <f t="shared" si="14"/>
        <v>219</v>
      </c>
      <c r="B220">
        <f t="shared" si="15"/>
        <v>150007.98714587832</v>
      </c>
      <c r="C220">
        <f>C2</f>
        <v>1516.963256383113</v>
      </c>
      <c r="D220">
        <f>B220*[1]Inputs!B12/12</f>
        <v>812.543263706841</v>
      </c>
      <c r="E220">
        <f t="shared" si="12"/>
        <v>704.41999267627205</v>
      </c>
      <c r="F220">
        <f t="shared" si="13"/>
        <v>149303.56715320205</v>
      </c>
    </row>
    <row r="221" spans="1:6">
      <c r="A221">
        <f t="shared" si="14"/>
        <v>220</v>
      </c>
      <c r="B221">
        <f t="shared" si="15"/>
        <v>149303.56715320205</v>
      </c>
      <c r="C221">
        <f>C2</f>
        <v>1516.963256383113</v>
      </c>
      <c r="D221">
        <f>B221*[1]Inputs!B12/12</f>
        <v>808.72765541317779</v>
      </c>
      <c r="E221">
        <f t="shared" si="12"/>
        <v>708.23560096993526</v>
      </c>
      <c r="F221">
        <f t="shared" si="13"/>
        <v>148595.33155223212</v>
      </c>
    </row>
    <row r="222" spans="1:6">
      <c r="A222">
        <f t="shared" si="14"/>
        <v>221</v>
      </c>
      <c r="B222">
        <f t="shared" si="15"/>
        <v>148595.33155223212</v>
      </c>
      <c r="C222">
        <f>C2</f>
        <v>1516.963256383113</v>
      </c>
      <c r="D222">
        <f>B222*[1]Inputs!B12/12</f>
        <v>804.89137924125737</v>
      </c>
      <c r="E222">
        <f t="shared" si="12"/>
        <v>712.07187714185568</v>
      </c>
      <c r="F222">
        <f t="shared" si="13"/>
        <v>147883.25967509026</v>
      </c>
    </row>
    <row r="223" spans="1:6">
      <c r="A223">
        <f t="shared" si="14"/>
        <v>222</v>
      </c>
      <c r="B223">
        <f t="shared" si="15"/>
        <v>147883.25967509026</v>
      </c>
      <c r="C223">
        <f>C2</f>
        <v>1516.963256383113</v>
      </c>
      <c r="D223">
        <f>B223*[1]Inputs!B12/12</f>
        <v>801.03432324007224</v>
      </c>
      <c r="E223">
        <f t="shared" si="12"/>
        <v>715.92893314304081</v>
      </c>
      <c r="F223">
        <f t="shared" si="13"/>
        <v>147167.33074194723</v>
      </c>
    </row>
    <row r="224" spans="1:6">
      <c r="A224">
        <f t="shared" si="14"/>
        <v>223</v>
      </c>
      <c r="B224">
        <f t="shared" si="15"/>
        <v>147167.33074194723</v>
      </c>
      <c r="C224">
        <f>C2</f>
        <v>1516.963256383113</v>
      </c>
      <c r="D224">
        <f>B224*[1]Inputs!B12/12</f>
        <v>797.15637485221407</v>
      </c>
      <c r="E224">
        <f t="shared" si="12"/>
        <v>719.80688153089898</v>
      </c>
      <c r="F224">
        <f t="shared" si="13"/>
        <v>146447.52386041632</v>
      </c>
    </row>
    <row r="225" spans="1:6">
      <c r="A225">
        <f t="shared" si="14"/>
        <v>224</v>
      </c>
      <c r="B225">
        <f t="shared" si="15"/>
        <v>146447.52386041632</v>
      </c>
      <c r="C225">
        <f>C2</f>
        <v>1516.963256383113</v>
      </c>
      <c r="D225">
        <f>B225*[1]Inputs!B12/12</f>
        <v>793.25742091058839</v>
      </c>
      <c r="E225">
        <f t="shared" si="12"/>
        <v>723.70583547252465</v>
      </c>
      <c r="F225">
        <f t="shared" si="13"/>
        <v>145723.81802494379</v>
      </c>
    </row>
    <row r="226" spans="1:6">
      <c r="A226">
        <f t="shared" si="14"/>
        <v>225</v>
      </c>
      <c r="B226">
        <f t="shared" si="15"/>
        <v>145723.81802494379</v>
      </c>
      <c r="C226">
        <f>C2</f>
        <v>1516.963256383113</v>
      </c>
      <c r="D226">
        <f>B226*[1]Inputs!B12/12</f>
        <v>789.33734763511222</v>
      </c>
      <c r="E226">
        <f t="shared" si="12"/>
        <v>727.62590874800082</v>
      </c>
      <c r="F226">
        <f t="shared" si="13"/>
        <v>144996.19211619577</v>
      </c>
    </row>
    <row r="227" spans="1:6">
      <c r="A227">
        <f t="shared" si="14"/>
        <v>226</v>
      </c>
      <c r="B227">
        <f t="shared" si="15"/>
        <v>144996.19211619577</v>
      </c>
      <c r="C227">
        <f>C2</f>
        <v>1516.963256383113</v>
      </c>
      <c r="D227">
        <f>B227*[1]Inputs!B12/12</f>
        <v>785.39604062939372</v>
      </c>
      <c r="E227">
        <f t="shared" si="12"/>
        <v>731.56721575371932</v>
      </c>
      <c r="F227">
        <f t="shared" si="13"/>
        <v>144264.62490044205</v>
      </c>
    </row>
    <row r="228" spans="1:6">
      <c r="A228">
        <f t="shared" si="14"/>
        <v>227</v>
      </c>
      <c r="B228">
        <f t="shared" si="15"/>
        <v>144264.62490044205</v>
      </c>
      <c r="C228">
        <f>C2</f>
        <v>1516.963256383113</v>
      </c>
      <c r="D228">
        <f>B228*[1]Inputs!B12/12</f>
        <v>781.43338487739447</v>
      </c>
      <c r="E228">
        <f t="shared" si="12"/>
        <v>735.52987150571857</v>
      </c>
      <c r="F228">
        <f t="shared" si="13"/>
        <v>143529.09502893634</v>
      </c>
    </row>
    <row r="229" spans="1:6">
      <c r="A229">
        <f t="shared" si="14"/>
        <v>228</v>
      </c>
      <c r="B229">
        <f t="shared" si="15"/>
        <v>143529.09502893634</v>
      </c>
      <c r="C229">
        <f>C2</f>
        <v>1516.963256383113</v>
      </c>
      <c r="D229">
        <f>B229*[1]Inputs!B12/12</f>
        <v>777.44926474007195</v>
      </c>
      <c r="E229">
        <f t="shared" si="12"/>
        <v>739.51399164304109</v>
      </c>
      <c r="F229">
        <f t="shared" si="13"/>
        <v>142789.5810372933</v>
      </c>
    </row>
    <row r="230" spans="1:6">
      <c r="A230">
        <f t="shared" si="14"/>
        <v>229</v>
      </c>
      <c r="B230">
        <f t="shared" si="15"/>
        <v>142789.5810372933</v>
      </c>
      <c r="C230">
        <f>C2</f>
        <v>1516.963256383113</v>
      </c>
      <c r="D230">
        <f>B230*[1]Inputs!B12/12</f>
        <v>773.44356395200532</v>
      </c>
      <c r="E230">
        <f t="shared" si="12"/>
        <v>743.51969243110773</v>
      </c>
      <c r="F230">
        <f t="shared" si="13"/>
        <v>142046.06134486219</v>
      </c>
    </row>
    <row r="231" spans="1:6">
      <c r="A231">
        <f t="shared" si="14"/>
        <v>230</v>
      </c>
      <c r="B231">
        <f t="shared" si="15"/>
        <v>142046.06134486219</v>
      </c>
      <c r="C231">
        <f>C2</f>
        <v>1516.963256383113</v>
      </c>
      <c r="D231">
        <f>B231*[1]Inputs!B12/12</f>
        <v>769.41616561800356</v>
      </c>
      <c r="E231">
        <f t="shared" si="12"/>
        <v>747.54709076510949</v>
      </c>
      <c r="F231">
        <f t="shared" si="13"/>
        <v>141298.51425409707</v>
      </c>
    </row>
    <row r="232" spans="1:6">
      <c r="A232">
        <f t="shared" si="14"/>
        <v>231</v>
      </c>
      <c r="B232">
        <f t="shared" si="15"/>
        <v>141298.51425409707</v>
      </c>
      <c r="C232">
        <f>C2</f>
        <v>1516.963256383113</v>
      </c>
      <c r="D232">
        <f>B232*[1]Inputs!B12/12</f>
        <v>765.3669522096925</v>
      </c>
      <c r="E232">
        <f t="shared" si="12"/>
        <v>751.59630417342055</v>
      </c>
      <c r="F232">
        <f t="shared" si="13"/>
        <v>140546.91794992366</v>
      </c>
    </row>
    <row r="233" spans="1:6">
      <c r="A233">
        <f t="shared" si="14"/>
        <v>232</v>
      </c>
      <c r="B233">
        <f t="shared" si="15"/>
        <v>140546.91794992366</v>
      </c>
      <c r="C233">
        <f>C2</f>
        <v>1516.963256383113</v>
      </c>
      <c r="D233">
        <f>B233*[1]Inputs!B12/12</f>
        <v>761.29580556208657</v>
      </c>
      <c r="E233">
        <f t="shared" si="12"/>
        <v>755.66745082102648</v>
      </c>
      <c r="F233">
        <f t="shared" si="13"/>
        <v>139791.25049910264</v>
      </c>
    </row>
    <row r="234" spans="1:6">
      <c r="A234">
        <f t="shared" si="14"/>
        <v>233</v>
      </c>
      <c r="B234">
        <f t="shared" si="15"/>
        <v>139791.25049910264</v>
      </c>
      <c r="C234">
        <f>C2</f>
        <v>1516.963256383113</v>
      </c>
      <c r="D234">
        <f>B234*[1]Inputs!B12/12</f>
        <v>757.20260687013933</v>
      </c>
      <c r="E234">
        <f t="shared" si="12"/>
        <v>759.76064951297371</v>
      </c>
      <c r="F234">
        <f t="shared" si="13"/>
        <v>139031.48984958965</v>
      </c>
    </row>
    <row r="235" spans="1:6">
      <c r="A235">
        <f t="shared" si="14"/>
        <v>234</v>
      </c>
      <c r="B235">
        <f t="shared" si="15"/>
        <v>139031.48984958965</v>
      </c>
      <c r="C235">
        <f>C2</f>
        <v>1516.963256383113</v>
      </c>
      <c r="D235">
        <f>B235*[1]Inputs!B12/12</f>
        <v>753.08723668527728</v>
      </c>
      <c r="E235">
        <f t="shared" si="12"/>
        <v>763.87601969783577</v>
      </c>
      <c r="F235">
        <f t="shared" si="13"/>
        <v>138267.61382989181</v>
      </c>
    </row>
    <row r="236" spans="1:6">
      <c r="A236">
        <f t="shared" si="14"/>
        <v>235</v>
      </c>
      <c r="B236">
        <f t="shared" si="15"/>
        <v>138267.61382989181</v>
      </c>
      <c r="C236">
        <f>C2</f>
        <v>1516.963256383113</v>
      </c>
      <c r="D236">
        <f>B236*[1]Inputs!B12/12</f>
        <v>748.94957491191406</v>
      </c>
      <c r="E236">
        <f t="shared" si="12"/>
        <v>768.01368147119899</v>
      </c>
      <c r="F236">
        <f t="shared" si="13"/>
        <v>137499.60014842061</v>
      </c>
    </row>
    <row r="237" spans="1:6">
      <c r="A237">
        <f t="shared" si="14"/>
        <v>236</v>
      </c>
      <c r="B237">
        <f t="shared" si="15"/>
        <v>137499.60014842061</v>
      </c>
      <c r="C237">
        <f>C2</f>
        <v>1516.963256383113</v>
      </c>
      <c r="D237">
        <f>B237*[1]Inputs!B12/12</f>
        <v>744.78950080394497</v>
      </c>
      <c r="E237">
        <f t="shared" si="12"/>
        <v>772.17375557916807</v>
      </c>
      <c r="F237">
        <f t="shared" si="13"/>
        <v>136727.42639284144</v>
      </c>
    </row>
    <row r="238" spans="1:6">
      <c r="A238">
        <f t="shared" si="14"/>
        <v>237</v>
      </c>
      <c r="B238">
        <f t="shared" si="15"/>
        <v>136727.42639284144</v>
      </c>
      <c r="C238">
        <f>C2</f>
        <v>1516.963256383113</v>
      </c>
      <c r="D238">
        <f>B238*[1]Inputs!B12/12</f>
        <v>740.60689296122462</v>
      </c>
      <c r="E238">
        <f t="shared" si="12"/>
        <v>776.35636342188843</v>
      </c>
      <c r="F238">
        <f t="shared" si="13"/>
        <v>135951.07002941956</v>
      </c>
    </row>
    <row r="239" spans="1:6">
      <c r="A239">
        <f t="shared" si="14"/>
        <v>238</v>
      </c>
      <c r="B239">
        <f t="shared" si="15"/>
        <v>135951.07002941956</v>
      </c>
      <c r="C239">
        <f>C2</f>
        <v>1516.963256383113</v>
      </c>
      <c r="D239">
        <f>B239*[1]Inputs!B12/12</f>
        <v>736.40162932602254</v>
      </c>
      <c r="E239">
        <f t="shared" si="12"/>
        <v>780.5616270570905</v>
      </c>
      <c r="F239">
        <f t="shared" si="13"/>
        <v>135170.50840236247</v>
      </c>
    </row>
    <row r="240" spans="1:6">
      <c r="A240">
        <f t="shared" si="14"/>
        <v>239</v>
      </c>
      <c r="B240">
        <f t="shared" si="15"/>
        <v>135170.50840236247</v>
      </c>
      <c r="C240">
        <f>C2</f>
        <v>1516.963256383113</v>
      </c>
      <c r="D240">
        <f>B240*[1]Inputs!B12/12</f>
        <v>732.17358717946342</v>
      </c>
      <c r="E240">
        <f t="shared" si="12"/>
        <v>784.78966920364962</v>
      </c>
      <c r="F240">
        <f t="shared" si="13"/>
        <v>134385.71873315881</v>
      </c>
    </row>
    <row r="241" spans="1:6">
      <c r="A241">
        <f t="shared" si="14"/>
        <v>240</v>
      </c>
      <c r="B241">
        <f t="shared" si="15"/>
        <v>134385.71873315881</v>
      </c>
      <c r="C241">
        <f>C2</f>
        <v>1516.963256383113</v>
      </c>
      <c r="D241">
        <f>B241*[1]Inputs!B12/12</f>
        <v>727.92264313794351</v>
      </c>
      <c r="E241">
        <f t="shared" si="12"/>
        <v>789.04061324516954</v>
      </c>
      <c r="F241">
        <f t="shared" si="13"/>
        <v>133596.67811991365</v>
      </c>
    </row>
    <row r="242" spans="1:6">
      <c r="A242">
        <f t="shared" si="14"/>
        <v>241</v>
      </c>
      <c r="B242">
        <f t="shared" si="15"/>
        <v>133596.67811991365</v>
      </c>
      <c r="C242">
        <f>C2</f>
        <v>1516.963256383113</v>
      </c>
      <c r="D242">
        <f>B242*[1]Inputs!B12/12</f>
        <v>723.64867314953233</v>
      </c>
      <c r="E242">
        <f t="shared" si="12"/>
        <v>793.31458323358072</v>
      </c>
      <c r="F242">
        <f t="shared" si="13"/>
        <v>132803.36353668006</v>
      </c>
    </row>
    <row r="243" spans="1:6">
      <c r="A243">
        <f t="shared" si="14"/>
        <v>242</v>
      </c>
      <c r="B243">
        <f t="shared" si="15"/>
        <v>132803.36353668006</v>
      </c>
      <c r="C243">
        <f>C2</f>
        <v>1516.963256383113</v>
      </c>
      <c r="D243">
        <f>B243*[1]Inputs!B12/12</f>
        <v>719.3515524903504</v>
      </c>
      <c r="E243">
        <f t="shared" si="12"/>
        <v>797.61170389276265</v>
      </c>
      <c r="F243">
        <f t="shared" si="13"/>
        <v>132005.7518327873</v>
      </c>
    </row>
    <row r="244" spans="1:6">
      <c r="A244">
        <f t="shared" si="14"/>
        <v>243</v>
      </c>
      <c r="B244">
        <f t="shared" si="15"/>
        <v>132005.7518327873</v>
      </c>
      <c r="C244">
        <f>C2</f>
        <v>1516.963256383113</v>
      </c>
      <c r="D244">
        <f>B244*[1]Inputs!B12/12</f>
        <v>715.03115576093114</v>
      </c>
      <c r="E244">
        <f t="shared" si="12"/>
        <v>801.93210062218191</v>
      </c>
      <c r="F244">
        <f t="shared" si="13"/>
        <v>131203.81973216511</v>
      </c>
    </row>
    <row r="245" spans="1:6">
      <c r="A245">
        <f t="shared" si="14"/>
        <v>244</v>
      </c>
      <c r="B245">
        <f t="shared" si="15"/>
        <v>131203.81973216511</v>
      </c>
      <c r="C245">
        <f>C2</f>
        <v>1516.963256383113</v>
      </c>
      <c r="D245">
        <f>B245*[1]Inputs!B12/12</f>
        <v>710.68735688256095</v>
      </c>
      <c r="E245">
        <f t="shared" si="12"/>
        <v>806.2758995005521</v>
      </c>
      <c r="F245">
        <f t="shared" si="13"/>
        <v>130397.54383266455</v>
      </c>
    </row>
    <row r="246" spans="1:6">
      <c r="A246">
        <f t="shared" si="14"/>
        <v>245</v>
      </c>
      <c r="B246">
        <f t="shared" si="15"/>
        <v>130397.54383266455</v>
      </c>
      <c r="C246">
        <f>C2</f>
        <v>1516.963256383113</v>
      </c>
      <c r="D246">
        <f>B246*[1]Inputs!B12/12</f>
        <v>706.32002909359971</v>
      </c>
      <c r="E246">
        <f t="shared" si="12"/>
        <v>810.64322728951333</v>
      </c>
      <c r="F246">
        <f t="shared" si="13"/>
        <v>129586.90060537503</v>
      </c>
    </row>
    <row r="247" spans="1:6">
      <c r="A247">
        <f t="shared" si="14"/>
        <v>246</v>
      </c>
      <c r="B247">
        <f t="shared" si="15"/>
        <v>129586.90060537503</v>
      </c>
      <c r="C247">
        <f>C2</f>
        <v>1516.963256383113</v>
      </c>
      <c r="D247">
        <f>B247*[1]Inputs!B12/12</f>
        <v>701.92904494578136</v>
      </c>
      <c r="E247">
        <f t="shared" si="12"/>
        <v>815.03421143733169</v>
      </c>
      <c r="F247">
        <f t="shared" si="13"/>
        <v>128771.8663939377</v>
      </c>
    </row>
    <row r="248" spans="1:6">
      <c r="A248">
        <f t="shared" si="14"/>
        <v>247</v>
      </c>
      <c r="B248">
        <f t="shared" si="15"/>
        <v>128771.8663939377</v>
      </c>
      <c r="C248">
        <f>C2</f>
        <v>1516.963256383113</v>
      </c>
      <c r="D248">
        <f>B248*[1]Inputs!B12/12</f>
        <v>697.51427630049591</v>
      </c>
      <c r="E248">
        <f t="shared" si="12"/>
        <v>819.44898008261714</v>
      </c>
      <c r="F248">
        <f t="shared" si="13"/>
        <v>127952.41741385509</v>
      </c>
    </row>
    <row r="249" spans="1:6">
      <c r="A249">
        <f t="shared" si="14"/>
        <v>248</v>
      </c>
      <c r="B249">
        <f t="shared" si="15"/>
        <v>127952.41741385509</v>
      </c>
      <c r="C249">
        <f>C2</f>
        <v>1516.963256383113</v>
      </c>
      <c r="D249">
        <f>B249*[1]Inputs!B12/12</f>
        <v>693.07559432504843</v>
      </c>
      <c r="E249">
        <f t="shared" si="12"/>
        <v>823.88766205806462</v>
      </c>
      <c r="F249">
        <f t="shared" si="13"/>
        <v>127128.52975179702</v>
      </c>
    </row>
    <row r="250" spans="1:6">
      <c r="A250">
        <f t="shared" si="14"/>
        <v>249</v>
      </c>
      <c r="B250">
        <f t="shared" si="15"/>
        <v>127128.52975179702</v>
      </c>
      <c r="C250">
        <f>C2</f>
        <v>1516.963256383113</v>
      </c>
      <c r="D250">
        <f>B250*[1]Inputs!B12/12</f>
        <v>688.61286948890063</v>
      </c>
      <c r="E250">
        <f t="shared" si="12"/>
        <v>828.35038689421242</v>
      </c>
      <c r="F250">
        <f t="shared" si="13"/>
        <v>126300.17936490281</v>
      </c>
    </row>
    <row r="251" spans="1:6">
      <c r="A251">
        <f t="shared" si="14"/>
        <v>250</v>
      </c>
      <c r="B251">
        <f t="shared" si="15"/>
        <v>126300.17936490281</v>
      </c>
      <c r="C251">
        <f>C2</f>
        <v>1516.963256383113</v>
      </c>
      <c r="D251">
        <f>B251*[1]Inputs!B12/12</f>
        <v>684.12597155989022</v>
      </c>
      <c r="E251">
        <f t="shared" si="12"/>
        <v>832.83728482322283</v>
      </c>
      <c r="F251">
        <f t="shared" si="13"/>
        <v>125467.34208007959</v>
      </c>
    </row>
    <row r="252" spans="1:6">
      <c r="A252">
        <f t="shared" si="14"/>
        <v>251</v>
      </c>
      <c r="B252">
        <f t="shared" si="15"/>
        <v>125467.34208007959</v>
      </c>
      <c r="C252">
        <f>C2</f>
        <v>1516.963256383113</v>
      </c>
      <c r="D252">
        <f>B252*[1]Inputs!B12/12</f>
        <v>679.61476960043115</v>
      </c>
      <c r="E252">
        <f t="shared" si="12"/>
        <v>837.3484867826819</v>
      </c>
      <c r="F252">
        <f t="shared" si="13"/>
        <v>124629.99359329691</v>
      </c>
    </row>
    <row r="253" spans="1:6">
      <c r="A253">
        <f t="shared" si="14"/>
        <v>252</v>
      </c>
      <c r="B253">
        <f t="shared" si="15"/>
        <v>124629.99359329691</v>
      </c>
      <c r="C253">
        <f>C2</f>
        <v>1516.963256383113</v>
      </c>
      <c r="D253">
        <f>B253*[1]Inputs!B12/12</f>
        <v>675.07913196369157</v>
      </c>
      <c r="E253">
        <f t="shared" si="12"/>
        <v>841.88412441942148</v>
      </c>
      <c r="F253">
        <f t="shared" si="13"/>
        <v>123788.10946887749</v>
      </c>
    </row>
    <row r="254" spans="1:6">
      <c r="A254">
        <f t="shared" si="14"/>
        <v>253</v>
      </c>
      <c r="B254">
        <f t="shared" si="15"/>
        <v>123788.10946887749</v>
      </c>
      <c r="C254">
        <f>C2</f>
        <v>1516.963256383113</v>
      </c>
      <c r="D254">
        <f>B254*[1]Inputs!B12/12</f>
        <v>670.51892628975304</v>
      </c>
      <c r="E254">
        <f t="shared" si="12"/>
        <v>846.44433009336001</v>
      </c>
      <c r="F254">
        <f t="shared" si="13"/>
        <v>122941.66513878413</v>
      </c>
    </row>
    <row r="255" spans="1:6">
      <c r="A255">
        <f t="shared" si="14"/>
        <v>254</v>
      </c>
      <c r="B255">
        <f t="shared" si="15"/>
        <v>122941.66513878413</v>
      </c>
      <c r="C255">
        <f>C2</f>
        <v>1516.963256383113</v>
      </c>
      <c r="D255">
        <f>B255*[1]Inputs!B12/12</f>
        <v>665.93401950174734</v>
      </c>
      <c r="E255">
        <f t="shared" si="12"/>
        <v>851.0292368813657</v>
      </c>
      <c r="F255">
        <f t="shared" si="13"/>
        <v>122090.63590190276</v>
      </c>
    </row>
    <row r="256" spans="1:6">
      <c r="A256">
        <f t="shared" si="14"/>
        <v>255</v>
      </c>
      <c r="B256">
        <f t="shared" si="15"/>
        <v>122090.63590190276</v>
      </c>
      <c r="C256">
        <f>C2</f>
        <v>1516.963256383113</v>
      </c>
      <c r="D256">
        <f>B256*[1]Inputs!B12/12</f>
        <v>661.32427780197327</v>
      </c>
      <c r="E256">
        <f t="shared" si="12"/>
        <v>855.63897858113978</v>
      </c>
      <c r="F256">
        <f t="shared" si="13"/>
        <v>121234.99692332163</v>
      </c>
    </row>
    <row r="257" spans="1:6">
      <c r="A257">
        <f t="shared" si="14"/>
        <v>256</v>
      </c>
      <c r="B257">
        <f t="shared" si="15"/>
        <v>121234.99692332163</v>
      </c>
      <c r="C257">
        <f>C2</f>
        <v>1516.963256383113</v>
      </c>
      <c r="D257">
        <f>B257*[1]Inputs!B12/12</f>
        <v>656.68956666799215</v>
      </c>
      <c r="E257">
        <f t="shared" si="12"/>
        <v>860.2736897151209</v>
      </c>
      <c r="F257">
        <f t="shared" si="13"/>
        <v>120374.72323360651</v>
      </c>
    </row>
    <row r="258" spans="1:6">
      <c r="A258">
        <f t="shared" si="14"/>
        <v>257</v>
      </c>
      <c r="B258">
        <f t="shared" si="15"/>
        <v>120374.72323360651</v>
      </c>
      <c r="C258">
        <f>C2</f>
        <v>1516.963256383113</v>
      </c>
      <c r="D258">
        <f>B258*[1]Inputs!B12/12</f>
        <v>652.02975084870195</v>
      </c>
      <c r="E258">
        <f t="shared" ref="E258:E321" si="16">C258-D258</f>
        <v>864.9335055344111</v>
      </c>
      <c r="F258">
        <f t="shared" ref="F258:F321" si="17">B258-E258</f>
        <v>119509.78972807209</v>
      </c>
    </row>
    <row r="259" spans="1:6">
      <c r="A259">
        <f t="shared" ref="A259:A322" si="18">A258+1</f>
        <v>258</v>
      </c>
      <c r="B259">
        <f t="shared" ref="B259:B322" si="19">F258</f>
        <v>119509.78972807209</v>
      </c>
      <c r="C259">
        <f>C2</f>
        <v>1516.963256383113</v>
      </c>
      <c r="D259">
        <f>B259*[1]Inputs!B12/12</f>
        <v>647.34469436039046</v>
      </c>
      <c r="E259">
        <f t="shared" si="16"/>
        <v>869.61856202272259</v>
      </c>
      <c r="F259">
        <f t="shared" si="17"/>
        <v>118640.17116604937</v>
      </c>
    </row>
    <row r="260" spans="1:6">
      <c r="A260">
        <f t="shared" si="18"/>
        <v>259</v>
      </c>
      <c r="B260">
        <f t="shared" si="19"/>
        <v>118640.17116604937</v>
      </c>
      <c r="C260">
        <f>C2</f>
        <v>1516.963256383113</v>
      </c>
      <c r="D260">
        <f>B260*[1]Inputs!B12/12</f>
        <v>642.63426048276744</v>
      </c>
      <c r="E260">
        <f t="shared" si="16"/>
        <v>874.3289959003456</v>
      </c>
      <c r="F260">
        <f t="shared" si="17"/>
        <v>117765.84217014903</v>
      </c>
    </row>
    <row r="261" spans="1:6">
      <c r="A261">
        <f t="shared" si="18"/>
        <v>260</v>
      </c>
      <c r="B261">
        <f t="shared" si="19"/>
        <v>117765.84217014903</v>
      </c>
      <c r="C261">
        <f>C2</f>
        <v>1516.963256383113</v>
      </c>
      <c r="D261">
        <f>B261*[1]Inputs!B12/12</f>
        <v>637.89831175497386</v>
      </c>
      <c r="E261">
        <f t="shared" si="16"/>
        <v>879.06494462813919</v>
      </c>
      <c r="F261">
        <f t="shared" si="17"/>
        <v>116886.77722552088</v>
      </c>
    </row>
    <row r="262" spans="1:6">
      <c r="A262">
        <f t="shared" si="18"/>
        <v>261</v>
      </c>
      <c r="B262">
        <f t="shared" si="19"/>
        <v>116886.77722552088</v>
      </c>
      <c r="C262">
        <f>C2</f>
        <v>1516.963256383113</v>
      </c>
      <c r="D262">
        <f>B262*[1]Inputs!B12/12</f>
        <v>633.13670997157146</v>
      </c>
      <c r="E262">
        <f t="shared" si="16"/>
        <v>883.82654641154159</v>
      </c>
      <c r="F262">
        <f t="shared" si="17"/>
        <v>116002.95067910934</v>
      </c>
    </row>
    <row r="263" spans="1:6">
      <c r="A263">
        <f t="shared" si="18"/>
        <v>262</v>
      </c>
      <c r="B263">
        <f t="shared" si="19"/>
        <v>116002.95067910934</v>
      </c>
      <c r="C263">
        <f>C2</f>
        <v>1516.963256383113</v>
      </c>
      <c r="D263">
        <f>B263*[1]Inputs!B12/12</f>
        <v>628.34931617850896</v>
      </c>
      <c r="E263">
        <f t="shared" si="16"/>
        <v>888.61394020460409</v>
      </c>
      <c r="F263">
        <f t="shared" si="17"/>
        <v>115114.33673890473</v>
      </c>
    </row>
    <row r="264" spans="1:6">
      <c r="A264">
        <f t="shared" si="18"/>
        <v>263</v>
      </c>
      <c r="B264">
        <f t="shared" si="19"/>
        <v>115114.33673890473</v>
      </c>
      <c r="C264">
        <f>C2</f>
        <v>1516.963256383113</v>
      </c>
      <c r="D264">
        <f>B264*[1]Inputs!B12/12</f>
        <v>623.53599066906736</v>
      </c>
      <c r="E264">
        <f t="shared" si="16"/>
        <v>893.42726571404569</v>
      </c>
      <c r="F264">
        <f t="shared" si="17"/>
        <v>114220.9094731907</v>
      </c>
    </row>
    <row r="265" spans="1:6">
      <c r="A265">
        <f t="shared" si="18"/>
        <v>264</v>
      </c>
      <c r="B265">
        <f t="shared" si="19"/>
        <v>114220.9094731907</v>
      </c>
      <c r="C265">
        <f>C2</f>
        <v>1516.963256383113</v>
      </c>
      <c r="D265">
        <f>B265*[1]Inputs!B12/12</f>
        <v>618.69659297978296</v>
      </c>
      <c r="E265">
        <f t="shared" si="16"/>
        <v>898.26666340333009</v>
      </c>
      <c r="F265">
        <f t="shared" si="17"/>
        <v>113322.64280978737</v>
      </c>
    </row>
    <row r="266" spans="1:6">
      <c r="A266">
        <f t="shared" si="18"/>
        <v>265</v>
      </c>
      <c r="B266">
        <f t="shared" si="19"/>
        <v>113322.64280978737</v>
      </c>
      <c r="C266">
        <f>C2</f>
        <v>1516.963256383113</v>
      </c>
      <c r="D266">
        <f>B266*[1]Inputs!B12/12</f>
        <v>613.83098188634824</v>
      </c>
      <c r="E266">
        <f t="shared" si="16"/>
        <v>903.13227449676481</v>
      </c>
      <c r="F266">
        <f t="shared" si="17"/>
        <v>112419.51053529061</v>
      </c>
    </row>
    <row r="267" spans="1:6">
      <c r="A267">
        <f t="shared" si="18"/>
        <v>266</v>
      </c>
      <c r="B267">
        <f t="shared" si="19"/>
        <v>112419.51053529061</v>
      </c>
      <c r="C267">
        <f>C2</f>
        <v>1516.963256383113</v>
      </c>
      <c r="D267">
        <f>B267*[1]Inputs!B12/12</f>
        <v>608.93901539949081</v>
      </c>
      <c r="E267">
        <f t="shared" si="16"/>
        <v>908.02424098362224</v>
      </c>
      <c r="F267">
        <f t="shared" si="17"/>
        <v>111511.48629430699</v>
      </c>
    </row>
    <row r="268" spans="1:6">
      <c r="A268">
        <f t="shared" si="18"/>
        <v>267</v>
      </c>
      <c r="B268">
        <f t="shared" si="19"/>
        <v>111511.48629430699</v>
      </c>
      <c r="C268">
        <f>C2</f>
        <v>1516.963256383113</v>
      </c>
      <c r="D268">
        <f>B268*[1]Inputs!B12/12</f>
        <v>604.02055076082956</v>
      </c>
      <c r="E268">
        <f t="shared" si="16"/>
        <v>912.94270562228348</v>
      </c>
      <c r="F268">
        <f t="shared" si="17"/>
        <v>110598.54358868471</v>
      </c>
    </row>
    <row r="269" spans="1:6">
      <c r="A269">
        <f t="shared" si="18"/>
        <v>268</v>
      </c>
      <c r="B269">
        <f t="shared" si="19"/>
        <v>110598.54358868471</v>
      </c>
      <c r="C269">
        <f>C2</f>
        <v>1516.963256383113</v>
      </c>
      <c r="D269">
        <f>B269*[1]Inputs!B12/12</f>
        <v>599.07544443870881</v>
      </c>
      <c r="E269">
        <f t="shared" si="16"/>
        <v>917.88781194440423</v>
      </c>
      <c r="F269">
        <f t="shared" si="17"/>
        <v>109680.65577674031</v>
      </c>
    </row>
    <row r="270" spans="1:6">
      <c r="A270">
        <f t="shared" si="18"/>
        <v>269</v>
      </c>
      <c r="B270">
        <f t="shared" si="19"/>
        <v>109680.65577674031</v>
      </c>
      <c r="C270">
        <f>C2</f>
        <v>1516.963256383113</v>
      </c>
      <c r="D270">
        <f>B270*[1]Inputs!B12/12</f>
        <v>594.10355212400998</v>
      </c>
      <c r="E270">
        <f t="shared" si="16"/>
        <v>922.85970425910307</v>
      </c>
      <c r="F270">
        <f t="shared" si="17"/>
        <v>108757.79607248121</v>
      </c>
    </row>
    <row r="271" spans="1:6">
      <c r="A271">
        <f t="shared" si="18"/>
        <v>270</v>
      </c>
      <c r="B271">
        <f t="shared" si="19"/>
        <v>108757.79607248121</v>
      </c>
      <c r="C271">
        <f>C2</f>
        <v>1516.963256383113</v>
      </c>
      <c r="D271">
        <f>B271*[1]Inputs!B12/12</f>
        <v>589.10472872593994</v>
      </c>
      <c r="E271">
        <f t="shared" si="16"/>
        <v>927.85852765717311</v>
      </c>
      <c r="F271">
        <f t="shared" si="17"/>
        <v>107829.93754482405</v>
      </c>
    </row>
    <row r="272" spans="1:6">
      <c r="A272">
        <f t="shared" si="18"/>
        <v>271</v>
      </c>
      <c r="B272">
        <f t="shared" si="19"/>
        <v>107829.93754482405</v>
      </c>
      <c r="C272">
        <f>C2</f>
        <v>1516.963256383113</v>
      </c>
      <c r="D272">
        <f>B272*[1]Inputs!B12/12</f>
        <v>584.07882836779697</v>
      </c>
      <c r="E272">
        <f t="shared" si="16"/>
        <v>932.88442801531608</v>
      </c>
      <c r="F272">
        <f t="shared" si="17"/>
        <v>106897.05311680873</v>
      </c>
    </row>
    <row r="273" spans="1:6">
      <c r="A273">
        <f t="shared" si="18"/>
        <v>272</v>
      </c>
      <c r="B273">
        <f t="shared" si="19"/>
        <v>106897.05311680873</v>
      </c>
      <c r="C273">
        <f>C2</f>
        <v>1516.963256383113</v>
      </c>
      <c r="D273">
        <f>B273*[1]Inputs!B12/12</f>
        <v>579.02570438271403</v>
      </c>
      <c r="E273">
        <f t="shared" si="16"/>
        <v>937.93755200039902</v>
      </c>
      <c r="F273">
        <f t="shared" si="17"/>
        <v>105959.11556480834</v>
      </c>
    </row>
    <row r="274" spans="1:6">
      <c r="A274">
        <f t="shared" si="18"/>
        <v>273</v>
      </c>
      <c r="B274">
        <f t="shared" si="19"/>
        <v>105959.11556480834</v>
      </c>
      <c r="C274">
        <f>C2</f>
        <v>1516.963256383113</v>
      </c>
      <c r="D274">
        <f>B274*[1]Inputs!B12/12</f>
        <v>573.94520930937858</v>
      </c>
      <c r="E274">
        <f t="shared" si="16"/>
        <v>943.01804707373446</v>
      </c>
      <c r="F274">
        <f t="shared" si="17"/>
        <v>105016.0975177346</v>
      </c>
    </row>
    <row r="275" spans="1:6">
      <c r="A275">
        <f t="shared" si="18"/>
        <v>274</v>
      </c>
      <c r="B275">
        <f t="shared" si="19"/>
        <v>105016.0975177346</v>
      </c>
      <c r="C275">
        <f>C2</f>
        <v>1516.963256383113</v>
      </c>
      <c r="D275">
        <f>B275*[1]Inputs!B12/12</f>
        <v>568.83719488772908</v>
      </c>
      <c r="E275">
        <f t="shared" si="16"/>
        <v>948.12606149538396</v>
      </c>
      <c r="F275">
        <f t="shared" si="17"/>
        <v>104067.97145623922</v>
      </c>
    </row>
    <row r="276" spans="1:6">
      <c r="A276">
        <f t="shared" si="18"/>
        <v>275</v>
      </c>
      <c r="B276">
        <f t="shared" si="19"/>
        <v>104067.97145623922</v>
      </c>
      <c r="C276">
        <f>C2</f>
        <v>1516.963256383113</v>
      </c>
      <c r="D276">
        <f>B276*[1]Inputs!B12/12</f>
        <v>563.70151205462912</v>
      </c>
      <c r="E276">
        <f t="shared" si="16"/>
        <v>953.26174432848393</v>
      </c>
      <c r="F276">
        <f t="shared" si="17"/>
        <v>103114.70971191073</v>
      </c>
    </row>
    <row r="277" spans="1:6">
      <c r="A277">
        <f t="shared" si="18"/>
        <v>276</v>
      </c>
      <c r="B277">
        <f t="shared" si="19"/>
        <v>103114.70971191073</v>
      </c>
      <c r="C277">
        <f>C2</f>
        <v>1516.963256383113</v>
      </c>
      <c r="D277">
        <f>B277*[1]Inputs!B12/12</f>
        <v>558.53801093951654</v>
      </c>
      <c r="E277">
        <f t="shared" si="16"/>
        <v>958.42524544359651</v>
      </c>
      <c r="F277">
        <f t="shared" si="17"/>
        <v>102156.28446646714</v>
      </c>
    </row>
    <row r="278" spans="1:6">
      <c r="A278">
        <f t="shared" si="18"/>
        <v>277</v>
      </c>
      <c r="B278">
        <f t="shared" si="19"/>
        <v>102156.28446646714</v>
      </c>
      <c r="C278">
        <f>C2</f>
        <v>1516.963256383113</v>
      </c>
      <c r="D278">
        <f>B278*[1]Inputs!B12/12</f>
        <v>553.34654086003036</v>
      </c>
      <c r="E278">
        <f t="shared" si="16"/>
        <v>963.61671552308269</v>
      </c>
      <c r="F278">
        <f t="shared" si="17"/>
        <v>101192.66775094406</v>
      </c>
    </row>
    <row r="279" spans="1:6">
      <c r="A279">
        <f t="shared" si="18"/>
        <v>278</v>
      </c>
      <c r="B279">
        <f t="shared" si="19"/>
        <v>101192.66775094406</v>
      </c>
      <c r="C279">
        <f>C2</f>
        <v>1516.963256383113</v>
      </c>
      <c r="D279">
        <f>B279*[1]Inputs!B12/12</f>
        <v>548.12695031761371</v>
      </c>
      <c r="E279">
        <f t="shared" si="16"/>
        <v>968.83630606549934</v>
      </c>
      <c r="F279">
        <f t="shared" si="17"/>
        <v>100223.83144487857</v>
      </c>
    </row>
    <row r="280" spans="1:6">
      <c r="A280">
        <f t="shared" si="18"/>
        <v>279</v>
      </c>
      <c r="B280">
        <f t="shared" si="19"/>
        <v>100223.83144487857</v>
      </c>
      <c r="C280">
        <f>C2</f>
        <v>1516.963256383113</v>
      </c>
      <c r="D280">
        <f>B280*[1]Inputs!B12/12</f>
        <v>542.8790869930923</v>
      </c>
      <c r="E280">
        <f t="shared" si="16"/>
        <v>974.08416939002075</v>
      </c>
      <c r="F280">
        <f t="shared" si="17"/>
        <v>99249.747275488553</v>
      </c>
    </row>
    <row r="281" spans="1:6">
      <c r="A281">
        <f t="shared" si="18"/>
        <v>280</v>
      </c>
      <c r="B281">
        <f t="shared" si="19"/>
        <v>99249.747275488553</v>
      </c>
      <c r="C281">
        <f>C2</f>
        <v>1516.963256383113</v>
      </c>
      <c r="D281">
        <f>B281*[1]Inputs!B12/12</f>
        <v>537.60279774222965</v>
      </c>
      <c r="E281">
        <f t="shared" si="16"/>
        <v>979.36045864088339</v>
      </c>
      <c r="F281">
        <f t="shared" si="17"/>
        <v>98270.386816847677</v>
      </c>
    </row>
    <row r="282" spans="1:6">
      <c r="A282">
        <f t="shared" si="18"/>
        <v>281</v>
      </c>
      <c r="B282">
        <f t="shared" si="19"/>
        <v>98270.386816847677</v>
      </c>
      <c r="C282">
        <f>C2</f>
        <v>1516.963256383113</v>
      </c>
      <c r="D282">
        <f>B282*[1]Inputs!B12/12</f>
        <v>532.29792859125826</v>
      </c>
      <c r="E282">
        <f t="shared" si="16"/>
        <v>984.66532779185479</v>
      </c>
      <c r="F282">
        <f t="shared" si="17"/>
        <v>97285.721489055824</v>
      </c>
    </row>
    <row r="283" spans="1:6">
      <c r="A283">
        <f t="shared" si="18"/>
        <v>282</v>
      </c>
      <c r="B283">
        <f t="shared" si="19"/>
        <v>97285.721489055824</v>
      </c>
      <c r="C283">
        <f>C2</f>
        <v>1516.963256383113</v>
      </c>
      <c r="D283">
        <f>B283*[1]Inputs!B12/12</f>
        <v>526.96432473238576</v>
      </c>
      <c r="E283">
        <f t="shared" si="16"/>
        <v>989.99893165072729</v>
      </c>
      <c r="F283">
        <f t="shared" si="17"/>
        <v>96295.722557405097</v>
      </c>
    </row>
    <row r="284" spans="1:6">
      <c r="A284">
        <f t="shared" si="18"/>
        <v>283</v>
      </c>
      <c r="B284">
        <f t="shared" si="19"/>
        <v>96295.722557405097</v>
      </c>
      <c r="C284">
        <f>C2</f>
        <v>1516.963256383113</v>
      </c>
      <c r="D284">
        <f>B284*[1]Inputs!B12/12</f>
        <v>521.60183051927766</v>
      </c>
      <c r="E284">
        <f t="shared" si="16"/>
        <v>995.36142586383539</v>
      </c>
      <c r="F284">
        <f t="shared" si="17"/>
        <v>95300.361131541256</v>
      </c>
    </row>
    <row r="285" spans="1:6">
      <c r="A285">
        <f t="shared" si="18"/>
        <v>284</v>
      </c>
      <c r="B285">
        <f t="shared" si="19"/>
        <v>95300.361131541256</v>
      </c>
      <c r="C285">
        <f>C2</f>
        <v>1516.963256383113</v>
      </c>
      <c r="D285">
        <f>B285*[1]Inputs!B12/12</f>
        <v>516.21028946251511</v>
      </c>
      <c r="E285">
        <f t="shared" si="16"/>
        <v>1000.7529669205979</v>
      </c>
      <c r="F285">
        <f t="shared" si="17"/>
        <v>94299.608164620658</v>
      </c>
    </row>
    <row r="286" spans="1:6">
      <c r="A286">
        <f t="shared" si="18"/>
        <v>285</v>
      </c>
      <c r="B286">
        <f t="shared" si="19"/>
        <v>94299.608164620658</v>
      </c>
      <c r="C286">
        <f>C2</f>
        <v>1516.963256383113</v>
      </c>
      <c r="D286">
        <f>B286*[1]Inputs!B12/12</f>
        <v>510.78954422502858</v>
      </c>
      <c r="E286">
        <f t="shared" si="16"/>
        <v>1006.1737121580845</v>
      </c>
      <c r="F286">
        <f t="shared" si="17"/>
        <v>93293.434452462578</v>
      </c>
    </row>
    <row r="287" spans="1:6">
      <c r="A287">
        <f t="shared" si="18"/>
        <v>286</v>
      </c>
      <c r="B287">
        <f t="shared" si="19"/>
        <v>93293.434452462578</v>
      </c>
      <c r="C287">
        <f>C2</f>
        <v>1516.963256383113</v>
      </c>
      <c r="D287">
        <f>B287*[1]Inputs!B12/12</f>
        <v>505.33943661750567</v>
      </c>
      <c r="E287">
        <f t="shared" si="16"/>
        <v>1011.6238197656073</v>
      </c>
      <c r="F287">
        <f t="shared" si="17"/>
        <v>92281.810632696972</v>
      </c>
    </row>
    <row r="288" spans="1:6">
      <c r="A288">
        <f t="shared" si="18"/>
        <v>287</v>
      </c>
      <c r="B288">
        <f t="shared" si="19"/>
        <v>92281.810632696972</v>
      </c>
      <c r="C288">
        <f>C2</f>
        <v>1516.963256383113</v>
      </c>
      <c r="D288">
        <f>B288*[1]Inputs!B12/12</f>
        <v>499.85980759377526</v>
      </c>
      <c r="E288">
        <f t="shared" si="16"/>
        <v>1017.1034487893378</v>
      </c>
      <c r="F288">
        <f t="shared" si="17"/>
        <v>91264.707183907638</v>
      </c>
    </row>
    <row r="289" spans="1:6">
      <c r="A289">
        <f t="shared" si="18"/>
        <v>288</v>
      </c>
      <c r="B289">
        <f t="shared" si="19"/>
        <v>91264.707183907638</v>
      </c>
      <c r="C289">
        <f>C2</f>
        <v>1516.963256383113</v>
      </c>
      <c r="D289">
        <f>B289*[1]Inputs!B12/12</f>
        <v>494.35049724616641</v>
      </c>
      <c r="E289">
        <f t="shared" si="16"/>
        <v>1022.6127591369466</v>
      </c>
      <c r="F289">
        <f t="shared" si="17"/>
        <v>90242.094424770694</v>
      </c>
    </row>
    <row r="290" spans="1:6">
      <c r="A290">
        <f t="shared" si="18"/>
        <v>289</v>
      </c>
      <c r="B290">
        <f t="shared" si="19"/>
        <v>90242.094424770694</v>
      </c>
      <c r="C290">
        <f>C2</f>
        <v>1516.963256383113</v>
      </c>
      <c r="D290">
        <f>B290*[1]Inputs!B12/12</f>
        <v>488.81134480084125</v>
      </c>
      <c r="E290">
        <f t="shared" si="16"/>
        <v>1028.1519115822719</v>
      </c>
      <c r="F290">
        <f t="shared" si="17"/>
        <v>89213.94251318842</v>
      </c>
    </row>
    <row r="291" spans="1:6">
      <c r="A291">
        <f t="shared" si="18"/>
        <v>290</v>
      </c>
      <c r="B291">
        <f t="shared" si="19"/>
        <v>89213.94251318842</v>
      </c>
      <c r="C291">
        <f>C2</f>
        <v>1516.963256383113</v>
      </c>
      <c r="D291">
        <f>B291*[1]Inputs!B12/12</f>
        <v>483.24218861310396</v>
      </c>
      <c r="E291">
        <f t="shared" si="16"/>
        <v>1033.7210677700091</v>
      </c>
      <c r="F291">
        <f t="shared" si="17"/>
        <v>88180.221445418414</v>
      </c>
    </row>
    <row r="292" spans="1:6">
      <c r="A292">
        <f t="shared" si="18"/>
        <v>291</v>
      </c>
      <c r="B292">
        <f t="shared" si="19"/>
        <v>88180.221445418414</v>
      </c>
      <c r="C292">
        <f>C2</f>
        <v>1516.963256383113</v>
      </c>
      <c r="D292">
        <f>B292*[1]Inputs!B12/12</f>
        <v>477.64286616268311</v>
      </c>
      <c r="E292">
        <f t="shared" si="16"/>
        <v>1039.32039022043</v>
      </c>
      <c r="F292">
        <f t="shared" si="17"/>
        <v>87140.901055197988</v>
      </c>
    </row>
    <row r="293" spans="1:6">
      <c r="A293">
        <f t="shared" si="18"/>
        <v>292</v>
      </c>
      <c r="B293">
        <f t="shared" si="19"/>
        <v>87140.901055197988</v>
      </c>
      <c r="C293">
        <f>C2</f>
        <v>1516.963256383113</v>
      </c>
      <c r="D293">
        <f>B293*[1]Inputs!B12/12</f>
        <v>472.01321404898908</v>
      </c>
      <c r="E293">
        <f t="shared" si="16"/>
        <v>1044.950042334124</v>
      </c>
      <c r="F293">
        <f t="shared" si="17"/>
        <v>86095.951012863865</v>
      </c>
    </row>
    <row r="294" spans="1:6">
      <c r="A294">
        <f t="shared" si="18"/>
        <v>293</v>
      </c>
      <c r="B294">
        <f t="shared" si="19"/>
        <v>86095.951012863865</v>
      </c>
      <c r="C294">
        <f>C2</f>
        <v>1516.963256383113</v>
      </c>
      <c r="D294">
        <f>B294*[1]Inputs!B12/12</f>
        <v>466.35306798634593</v>
      </c>
      <c r="E294">
        <f t="shared" si="16"/>
        <v>1050.6101883967672</v>
      </c>
      <c r="F294">
        <f t="shared" si="17"/>
        <v>85045.340824467101</v>
      </c>
    </row>
    <row r="295" spans="1:6">
      <c r="A295">
        <f t="shared" si="18"/>
        <v>294</v>
      </c>
      <c r="B295">
        <f t="shared" si="19"/>
        <v>85045.340824467101</v>
      </c>
      <c r="C295">
        <f>C2</f>
        <v>1516.963256383113</v>
      </c>
      <c r="D295">
        <f>B295*[1]Inputs!B12/12</f>
        <v>460.66226279919687</v>
      </c>
      <c r="E295">
        <f t="shared" si="16"/>
        <v>1056.3009935839161</v>
      </c>
      <c r="F295">
        <f t="shared" si="17"/>
        <v>83989.039830883179</v>
      </c>
    </row>
    <row r="296" spans="1:6">
      <c r="A296">
        <f t="shared" si="18"/>
        <v>295</v>
      </c>
      <c r="B296">
        <f t="shared" si="19"/>
        <v>83989.039830883179</v>
      </c>
      <c r="C296">
        <f>C2</f>
        <v>1516.963256383113</v>
      </c>
      <c r="D296">
        <f>B296*[1]Inputs!B12/12</f>
        <v>454.94063241728389</v>
      </c>
      <c r="E296">
        <f t="shared" si="16"/>
        <v>1062.0226239658291</v>
      </c>
      <c r="F296">
        <f t="shared" si="17"/>
        <v>82927.017206917357</v>
      </c>
    </row>
    <row r="297" spans="1:6">
      <c r="A297">
        <f t="shared" si="18"/>
        <v>296</v>
      </c>
      <c r="B297">
        <f t="shared" si="19"/>
        <v>82927.017206917357</v>
      </c>
      <c r="C297">
        <f>C2</f>
        <v>1516.963256383113</v>
      </c>
      <c r="D297">
        <f>B297*[1]Inputs!B12/12</f>
        <v>449.18800987080232</v>
      </c>
      <c r="E297">
        <f t="shared" si="16"/>
        <v>1067.7752465123108</v>
      </c>
      <c r="F297">
        <f t="shared" si="17"/>
        <v>81859.241960405052</v>
      </c>
    </row>
    <row r="298" spans="1:6">
      <c r="A298">
        <f t="shared" si="18"/>
        <v>297</v>
      </c>
      <c r="B298">
        <f t="shared" si="19"/>
        <v>81859.241960405052</v>
      </c>
      <c r="C298">
        <f>C2</f>
        <v>1516.963256383113</v>
      </c>
      <c r="D298">
        <f>B298*[1]Inputs!B12/12</f>
        <v>443.40422728552738</v>
      </c>
      <c r="E298">
        <f t="shared" si="16"/>
        <v>1073.5590290975856</v>
      </c>
      <c r="F298">
        <f t="shared" si="17"/>
        <v>80785.68293130747</v>
      </c>
    </row>
    <row r="299" spans="1:6">
      <c r="A299">
        <f t="shared" si="18"/>
        <v>298</v>
      </c>
      <c r="B299">
        <f t="shared" si="19"/>
        <v>80785.68293130747</v>
      </c>
      <c r="C299">
        <f>C2</f>
        <v>1516.963256383113</v>
      </c>
      <c r="D299">
        <f>B299*[1]Inputs!B12/12</f>
        <v>437.58911587791545</v>
      </c>
      <c r="E299">
        <f t="shared" si="16"/>
        <v>1079.3741405051976</v>
      </c>
      <c r="F299">
        <f t="shared" si="17"/>
        <v>79706.308790802272</v>
      </c>
    </row>
    <row r="300" spans="1:6">
      <c r="A300">
        <f t="shared" si="18"/>
        <v>299</v>
      </c>
      <c r="B300">
        <f t="shared" si="19"/>
        <v>79706.308790802272</v>
      </c>
      <c r="C300">
        <f>C2</f>
        <v>1516.963256383113</v>
      </c>
      <c r="D300">
        <f>B300*[1]Inputs!B12/12</f>
        <v>431.74250595017901</v>
      </c>
      <c r="E300">
        <f t="shared" si="16"/>
        <v>1085.220750432934</v>
      </c>
      <c r="F300">
        <f t="shared" si="17"/>
        <v>78621.088040369345</v>
      </c>
    </row>
    <row r="301" spans="1:6">
      <c r="A301">
        <f t="shared" si="18"/>
        <v>300</v>
      </c>
      <c r="B301">
        <f t="shared" si="19"/>
        <v>78621.088040369345</v>
      </c>
      <c r="C301">
        <f>C2</f>
        <v>1516.963256383113</v>
      </c>
      <c r="D301">
        <f>B301*[1]Inputs!B12/12</f>
        <v>425.86422688533395</v>
      </c>
      <c r="E301">
        <f t="shared" si="16"/>
        <v>1091.0990294977792</v>
      </c>
      <c r="F301">
        <f t="shared" si="17"/>
        <v>77529.989010871563</v>
      </c>
    </row>
    <row r="302" spans="1:6">
      <c r="A302">
        <f t="shared" si="18"/>
        <v>301</v>
      </c>
      <c r="B302">
        <f t="shared" si="19"/>
        <v>77529.989010871563</v>
      </c>
      <c r="C302">
        <f>C2</f>
        <v>1516.963256383113</v>
      </c>
      <c r="D302">
        <f>B302*[1]Inputs!B12/12</f>
        <v>419.95410714222095</v>
      </c>
      <c r="E302">
        <f t="shared" si="16"/>
        <v>1097.0091492408922</v>
      </c>
      <c r="F302">
        <f t="shared" si="17"/>
        <v>76432.979861630665</v>
      </c>
    </row>
    <row r="303" spans="1:6">
      <c r="A303">
        <f t="shared" si="18"/>
        <v>302</v>
      </c>
      <c r="B303">
        <f t="shared" si="19"/>
        <v>76432.979861630665</v>
      </c>
      <c r="C303">
        <f>C2</f>
        <v>1516.963256383113</v>
      </c>
      <c r="D303">
        <f>B303*[1]Inputs!B12/12</f>
        <v>414.01197425049946</v>
      </c>
      <c r="E303">
        <f t="shared" si="16"/>
        <v>1102.9512821326136</v>
      </c>
      <c r="F303">
        <f t="shared" si="17"/>
        <v>75330.028579498045</v>
      </c>
    </row>
    <row r="304" spans="1:6">
      <c r="A304">
        <f t="shared" si="18"/>
        <v>303</v>
      </c>
      <c r="B304">
        <f t="shared" si="19"/>
        <v>75330.028579498045</v>
      </c>
      <c r="C304">
        <f>C2</f>
        <v>1516.963256383113</v>
      </c>
      <c r="D304">
        <f>B304*[1]Inputs!B12/12</f>
        <v>408.03765480561441</v>
      </c>
      <c r="E304">
        <f t="shared" si="16"/>
        <v>1108.9256015774986</v>
      </c>
      <c r="F304">
        <f t="shared" si="17"/>
        <v>74221.102977920542</v>
      </c>
    </row>
    <row r="305" spans="1:6">
      <c r="A305">
        <f t="shared" si="18"/>
        <v>304</v>
      </c>
      <c r="B305">
        <f t="shared" si="19"/>
        <v>74221.102977920542</v>
      </c>
      <c r="C305">
        <f>C2</f>
        <v>1516.963256383113</v>
      </c>
      <c r="D305">
        <f>B305*[1]Inputs!B12/12</f>
        <v>402.0309744637363</v>
      </c>
      <c r="E305">
        <f t="shared" si="16"/>
        <v>1114.9322819193767</v>
      </c>
      <c r="F305">
        <f t="shared" si="17"/>
        <v>73106.170696001165</v>
      </c>
    </row>
    <row r="306" spans="1:6">
      <c r="A306">
        <f t="shared" si="18"/>
        <v>305</v>
      </c>
      <c r="B306">
        <f t="shared" si="19"/>
        <v>73106.170696001165</v>
      </c>
      <c r="C306">
        <f>C2</f>
        <v>1516.963256383113</v>
      </c>
      <c r="D306">
        <f>B306*[1]Inputs!B12/12</f>
        <v>395.99175793667297</v>
      </c>
      <c r="E306">
        <f t="shared" si="16"/>
        <v>1120.9714984464401</v>
      </c>
      <c r="F306">
        <f t="shared" si="17"/>
        <v>71985.199197554728</v>
      </c>
    </row>
    <row r="307" spans="1:6">
      <c r="A307">
        <f t="shared" si="18"/>
        <v>306</v>
      </c>
      <c r="B307">
        <f t="shared" si="19"/>
        <v>71985.199197554728</v>
      </c>
      <c r="C307">
        <f>C2</f>
        <v>1516.963256383113</v>
      </c>
      <c r="D307">
        <f>B307*[1]Inputs!B12/12</f>
        <v>389.91982898675479</v>
      </c>
      <c r="E307">
        <f t="shared" si="16"/>
        <v>1127.0434273963583</v>
      </c>
      <c r="F307">
        <f t="shared" si="17"/>
        <v>70858.155770158366</v>
      </c>
    </row>
    <row r="308" spans="1:6">
      <c r="A308">
        <f t="shared" si="18"/>
        <v>307</v>
      </c>
      <c r="B308">
        <f t="shared" si="19"/>
        <v>70858.155770158366</v>
      </c>
      <c r="C308">
        <f>C2</f>
        <v>1516.963256383113</v>
      </c>
      <c r="D308">
        <f>B308*[1]Inputs!B12/12</f>
        <v>383.81501042169117</v>
      </c>
      <c r="E308">
        <f t="shared" si="16"/>
        <v>1133.1482459614219</v>
      </c>
      <c r="F308">
        <f t="shared" si="17"/>
        <v>69725.007524196946</v>
      </c>
    </row>
    <row r="309" spans="1:6">
      <c r="A309">
        <f t="shared" si="18"/>
        <v>308</v>
      </c>
      <c r="B309">
        <f t="shared" si="19"/>
        <v>69725.007524196946</v>
      </c>
      <c r="C309">
        <f>C2</f>
        <v>1516.963256383113</v>
      </c>
      <c r="D309">
        <f>B309*[1]Inputs!B12/12</f>
        <v>377.67712408940014</v>
      </c>
      <c r="E309">
        <f t="shared" si="16"/>
        <v>1139.2861322937129</v>
      </c>
      <c r="F309">
        <f t="shared" si="17"/>
        <v>68585.721391903237</v>
      </c>
    </row>
    <row r="310" spans="1:6">
      <c r="A310">
        <f t="shared" si="18"/>
        <v>309</v>
      </c>
      <c r="B310">
        <f t="shared" si="19"/>
        <v>68585.721391903237</v>
      </c>
      <c r="C310">
        <f>C2</f>
        <v>1516.963256383113</v>
      </c>
      <c r="D310">
        <f>B310*[1]Inputs!B12/12</f>
        <v>371.50599087280921</v>
      </c>
      <c r="E310">
        <f t="shared" si="16"/>
        <v>1145.4572655103038</v>
      </c>
      <c r="F310">
        <f t="shared" si="17"/>
        <v>67440.264126392925</v>
      </c>
    </row>
    <row r="311" spans="1:6">
      <c r="A311">
        <f t="shared" si="18"/>
        <v>310</v>
      </c>
      <c r="B311">
        <f t="shared" si="19"/>
        <v>67440.264126392925</v>
      </c>
      <c r="C311">
        <f>C2</f>
        <v>1516.963256383113</v>
      </c>
      <c r="D311">
        <f>B311*[1]Inputs!B12/12</f>
        <v>365.30143068462831</v>
      </c>
      <c r="E311">
        <f t="shared" si="16"/>
        <v>1151.6618256984848</v>
      </c>
      <c r="F311">
        <f t="shared" si="17"/>
        <v>66288.602300694445</v>
      </c>
    </row>
    <row r="312" spans="1:6">
      <c r="A312">
        <f t="shared" si="18"/>
        <v>311</v>
      </c>
      <c r="B312">
        <f t="shared" si="19"/>
        <v>66288.602300694445</v>
      </c>
      <c r="C312">
        <f>C2</f>
        <v>1516.963256383113</v>
      </c>
      <c r="D312">
        <f>B312*[1]Inputs!B12/12</f>
        <v>359.06326246209488</v>
      </c>
      <c r="E312">
        <f t="shared" si="16"/>
        <v>1157.8999939210182</v>
      </c>
      <c r="F312">
        <f t="shared" si="17"/>
        <v>65130.702306773426</v>
      </c>
    </row>
    <row r="313" spans="1:6">
      <c r="A313">
        <f t="shared" si="18"/>
        <v>312</v>
      </c>
      <c r="B313">
        <f t="shared" si="19"/>
        <v>65130.702306773426</v>
      </c>
      <c r="C313">
        <f>C2</f>
        <v>1516.963256383113</v>
      </c>
      <c r="D313">
        <f>B313*[1]Inputs!B12/12</f>
        <v>352.79130416168937</v>
      </c>
      <c r="E313">
        <f t="shared" si="16"/>
        <v>1164.1719522214237</v>
      </c>
      <c r="F313">
        <f t="shared" si="17"/>
        <v>63966.530354552</v>
      </c>
    </row>
    <row r="314" spans="1:6">
      <c r="A314">
        <f t="shared" si="18"/>
        <v>313</v>
      </c>
      <c r="B314">
        <f t="shared" si="19"/>
        <v>63966.530354552</v>
      </c>
      <c r="C314">
        <f>C2</f>
        <v>1516.963256383113</v>
      </c>
      <c r="D314">
        <f>B314*[1]Inputs!B12/12</f>
        <v>346.48537275382336</v>
      </c>
      <c r="E314">
        <f t="shared" si="16"/>
        <v>1170.4778836292896</v>
      </c>
      <c r="F314">
        <f t="shared" si="17"/>
        <v>62796.05247092271</v>
      </c>
    </row>
    <row r="315" spans="1:6">
      <c r="A315">
        <f t="shared" si="18"/>
        <v>314</v>
      </c>
      <c r="B315">
        <f t="shared" si="19"/>
        <v>62796.05247092271</v>
      </c>
      <c r="C315">
        <f>C2</f>
        <v>1516.963256383113</v>
      </c>
      <c r="D315">
        <f>B315*[1]Inputs!B12/12</f>
        <v>340.14528421749804</v>
      </c>
      <c r="E315">
        <f t="shared" si="16"/>
        <v>1176.8179721656149</v>
      </c>
      <c r="F315">
        <f t="shared" si="17"/>
        <v>61619.234498757098</v>
      </c>
    </row>
    <row r="316" spans="1:6">
      <c r="A316">
        <f t="shared" si="18"/>
        <v>315</v>
      </c>
      <c r="B316">
        <f t="shared" si="19"/>
        <v>61619.234498757098</v>
      </c>
      <c r="C316">
        <f>C2</f>
        <v>1516.963256383113</v>
      </c>
      <c r="D316">
        <f>B316*[1]Inputs!B12/12</f>
        <v>333.7708535349343</v>
      </c>
      <c r="E316">
        <f t="shared" si="16"/>
        <v>1183.1924028481787</v>
      </c>
      <c r="F316">
        <f t="shared" si="17"/>
        <v>60436.042095908917</v>
      </c>
    </row>
    <row r="317" spans="1:6">
      <c r="A317">
        <f t="shared" si="18"/>
        <v>316</v>
      </c>
      <c r="B317">
        <f t="shared" si="19"/>
        <v>60436.042095908917</v>
      </c>
      <c r="C317">
        <f>C2</f>
        <v>1516.963256383113</v>
      </c>
      <c r="D317">
        <f>B317*[1]Inputs!B12/12</f>
        <v>327.36189468617334</v>
      </c>
      <c r="E317">
        <f t="shared" si="16"/>
        <v>1189.6013616969396</v>
      </c>
      <c r="F317">
        <f t="shared" si="17"/>
        <v>59246.440734211974</v>
      </c>
    </row>
    <row r="318" spans="1:6">
      <c r="A318">
        <f t="shared" si="18"/>
        <v>317</v>
      </c>
      <c r="B318">
        <f t="shared" si="19"/>
        <v>59246.440734211974</v>
      </c>
      <c r="C318">
        <f>C2</f>
        <v>1516.963256383113</v>
      </c>
      <c r="D318">
        <f>B318*[1]Inputs!B12/12</f>
        <v>320.91822064364823</v>
      </c>
      <c r="E318">
        <f t="shared" si="16"/>
        <v>1196.0450357394648</v>
      </c>
      <c r="F318">
        <f t="shared" si="17"/>
        <v>58050.395698472508</v>
      </c>
    </row>
    <row r="319" spans="1:6">
      <c r="A319">
        <f t="shared" si="18"/>
        <v>318</v>
      </c>
      <c r="B319">
        <f t="shared" si="19"/>
        <v>58050.395698472508</v>
      </c>
      <c r="C319">
        <f>C2</f>
        <v>1516.963256383113</v>
      </c>
      <c r="D319">
        <f>B319*[1]Inputs!B12/12</f>
        <v>314.4396433667261</v>
      </c>
      <c r="E319">
        <f t="shared" si="16"/>
        <v>1202.5236130163869</v>
      </c>
      <c r="F319">
        <f t="shared" si="17"/>
        <v>56847.872085456118</v>
      </c>
    </row>
    <row r="320" spans="1:6">
      <c r="A320">
        <f t="shared" si="18"/>
        <v>319</v>
      </c>
      <c r="B320">
        <f t="shared" si="19"/>
        <v>56847.872085456118</v>
      </c>
      <c r="C320">
        <f>C2</f>
        <v>1516.963256383113</v>
      </c>
      <c r="D320">
        <f>B320*[1]Inputs!B12/12</f>
        <v>307.92597379622066</v>
      </c>
      <c r="E320">
        <f t="shared" si="16"/>
        <v>1209.0372825868924</v>
      </c>
      <c r="F320">
        <f t="shared" si="17"/>
        <v>55638.834802869227</v>
      </c>
    </row>
    <row r="321" spans="1:6">
      <c r="A321">
        <f t="shared" si="18"/>
        <v>320</v>
      </c>
      <c r="B321">
        <f t="shared" si="19"/>
        <v>55638.834802869227</v>
      </c>
      <c r="C321">
        <f>C2</f>
        <v>1516.963256383113</v>
      </c>
      <c r="D321">
        <f>B321*[1]Inputs!B12/12</f>
        <v>301.37702184887502</v>
      </c>
      <c r="E321">
        <f t="shared" si="16"/>
        <v>1215.586234534238</v>
      </c>
      <c r="F321">
        <f t="shared" si="17"/>
        <v>54423.248568334988</v>
      </c>
    </row>
    <row r="322" spans="1:6">
      <c r="A322">
        <f t="shared" si="18"/>
        <v>321</v>
      </c>
      <c r="B322">
        <f t="shared" si="19"/>
        <v>54423.248568334988</v>
      </c>
      <c r="C322">
        <f>C2</f>
        <v>1516.963256383113</v>
      </c>
      <c r="D322">
        <f>B322*[1]Inputs!B12/12</f>
        <v>294.79259641181454</v>
      </c>
      <c r="E322">
        <f t="shared" ref="E322:E361" si="20">C322-D322</f>
        <v>1222.1706599712984</v>
      </c>
      <c r="F322">
        <f t="shared" ref="F322:F361" si="21">B322-E322</f>
        <v>53201.077908363688</v>
      </c>
    </row>
    <row r="323" spans="1:6">
      <c r="A323">
        <f t="shared" ref="A323:A361" si="22">A322+1</f>
        <v>322</v>
      </c>
      <c r="B323">
        <f t="shared" ref="B323:B361" si="23">F322</f>
        <v>53201.077908363688</v>
      </c>
      <c r="C323">
        <f>C2</f>
        <v>1516.963256383113</v>
      </c>
      <c r="D323">
        <f>B323*[1]Inputs!B12/12</f>
        <v>288.17250533697</v>
      </c>
      <c r="E323">
        <f t="shared" si="20"/>
        <v>1228.790751046143</v>
      </c>
      <c r="F323">
        <f t="shared" si="21"/>
        <v>51972.287157317543</v>
      </c>
    </row>
    <row r="324" spans="1:6">
      <c r="A324">
        <f t="shared" si="22"/>
        <v>323</v>
      </c>
      <c r="B324">
        <f t="shared" si="23"/>
        <v>51972.287157317543</v>
      </c>
      <c r="C324">
        <f>C2</f>
        <v>1516.963256383113</v>
      </c>
      <c r="D324">
        <f>B324*[1]Inputs!B12/12</f>
        <v>281.51655543547002</v>
      </c>
      <c r="E324">
        <f t="shared" si="20"/>
        <v>1235.446700947643</v>
      </c>
      <c r="F324">
        <f t="shared" si="21"/>
        <v>50736.8404563699</v>
      </c>
    </row>
    <row r="325" spans="1:6">
      <c r="A325">
        <f t="shared" si="22"/>
        <v>324</v>
      </c>
      <c r="B325">
        <f t="shared" si="23"/>
        <v>50736.8404563699</v>
      </c>
      <c r="C325">
        <f>C2</f>
        <v>1516.963256383113</v>
      </c>
      <c r="D325">
        <f>B325*[1]Inputs!B12/12</f>
        <v>274.82455247200363</v>
      </c>
      <c r="E325">
        <f t="shared" si="20"/>
        <v>1242.1387039111094</v>
      </c>
      <c r="F325">
        <f t="shared" si="21"/>
        <v>49494.701752458794</v>
      </c>
    </row>
    <row r="326" spans="1:6">
      <c r="A326">
        <f t="shared" si="22"/>
        <v>325</v>
      </c>
      <c r="B326">
        <f t="shared" si="23"/>
        <v>49494.701752458794</v>
      </c>
      <c r="C326">
        <f>C2</f>
        <v>1516.963256383113</v>
      </c>
      <c r="D326">
        <f>B326*[1]Inputs!B12/12</f>
        <v>268.09630115915178</v>
      </c>
      <c r="E326">
        <f t="shared" si="20"/>
        <v>1248.8669552239612</v>
      </c>
      <c r="F326">
        <f t="shared" si="21"/>
        <v>48245.834797234835</v>
      </c>
    </row>
    <row r="327" spans="1:6">
      <c r="A327">
        <f t="shared" si="22"/>
        <v>326</v>
      </c>
      <c r="B327">
        <f t="shared" si="23"/>
        <v>48245.834797234835</v>
      </c>
      <c r="C327">
        <f>C2</f>
        <v>1516.963256383113</v>
      </c>
      <c r="D327">
        <f>B327*[1]Inputs!B12/12</f>
        <v>261.33160515168873</v>
      </c>
      <c r="E327">
        <f t="shared" si="20"/>
        <v>1255.6316512314243</v>
      </c>
      <c r="F327">
        <f t="shared" si="21"/>
        <v>46990.203146003412</v>
      </c>
    </row>
    <row r="328" spans="1:6">
      <c r="A328">
        <f t="shared" si="22"/>
        <v>327</v>
      </c>
      <c r="B328">
        <f t="shared" si="23"/>
        <v>46990.203146003412</v>
      </c>
      <c r="C328">
        <f>C2</f>
        <v>1516.963256383113</v>
      </c>
      <c r="D328">
        <f>B328*[1]Inputs!B12/12</f>
        <v>254.53026704085184</v>
      </c>
      <c r="E328">
        <f t="shared" si="20"/>
        <v>1262.4329893422612</v>
      </c>
      <c r="F328">
        <f t="shared" si="21"/>
        <v>45727.77015666115</v>
      </c>
    </row>
    <row r="329" spans="1:6">
      <c r="A329">
        <f t="shared" si="22"/>
        <v>328</v>
      </c>
      <c r="B329">
        <f t="shared" si="23"/>
        <v>45727.77015666115</v>
      </c>
      <c r="C329">
        <f>C2</f>
        <v>1516.963256383113</v>
      </c>
      <c r="D329">
        <f>B329*[1]Inputs!B12/12</f>
        <v>247.69208834858125</v>
      </c>
      <c r="E329">
        <f t="shared" si="20"/>
        <v>1269.2711680345319</v>
      </c>
      <c r="F329">
        <f t="shared" si="21"/>
        <v>44458.498988626619</v>
      </c>
    </row>
    <row r="330" spans="1:6">
      <c r="A330">
        <f t="shared" si="22"/>
        <v>329</v>
      </c>
      <c r="B330">
        <f t="shared" si="23"/>
        <v>44458.498988626619</v>
      </c>
      <c r="C330">
        <f>C2</f>
        <v>1516.963256383113</v>
      </c>
      <c r="D330">
        <f>B330*[1]Inputs!B12/12</f>
        <v>240.81686952172754</v>
      </c>
      <c r="E330">
        <f t="shared" si="20"/>
        <v>1276.1463868613855</v>
      </c>
      <c r="F330">
        <f t="shared" si="21"/>
        <v>43182.352601765233</v>
      </c>
    </row>
    <row r="331" spans="1:6">
      <c r="A331">
        <f t="shared" si="22"/>
        <v>330</v>
      </c>
      <c r="B331">
        <f t="shared" si="23"/>
        <v>43182.352601765233</v>
      </c>
      <c r="C331">
        <f>C2</f>
        <v>1516.963256383113</v>
      </c>
      <c r="D331">
        <f>B331*[1]Inputs!B12/12</f>
        <v>233.90440992622837</v>
      </c>
      <c r="E331">
        <f t="shared" si="20"/>
        <v>1283.0588464568846</v>
      </c>
      <c r="F331">
        <f t="shared" si="21"/>
        <v>41899.293755308347</v>
      </c>
    </row>
    <row r="332" spans="1:6">
      <c r="A332">
        <f t="shared" si="22"/>
        <v>331</v>
      </c>
      <c r="B332">
        <f t="shared" si="23"/>
        <v>41899.293755308347</v>
      </c>
      <c r="C332">
        <f>C2</f>
        <v>1516.963256383113</v>
      </c>
      <c r="D332">
        <f>B332*[1]Inputs!B12/12</f>
        <v>226.95450784125356</v>
      </c>
      <c r="E332">
        <f t="shared" si="20"/>
        <v>1290.0087485418594</v>
      </c>
      <c r="F332">
        <f t="shared" si="21"/>
        <v>40609.285006766484</v>
      </c>
    </row>
    <row r="333" spans="1:6">
      <c r="A333">
        <f t="shared" si="22"/>
        <v>332</v>
      </c>
      <c r="B333">
        <f t="shared" si="23"/>
        <v>40609.285006766484</v>
      </c>
      <c r="C333">
        <f>C2</f>
        <v>1516.963256383113</v>
      </c>
      <c r="D333">
        <f>B333*[1]Inputs!B12/12</f>
        <v>219.96696045331848</v>
      </c>
      <c r="E333">
        <f t="shared" si="20"/>
        <v>1296.9962959297945</v>
      </c>
      <c r="F333">
        <f t="shared" si="21"/>
        <v>39312.288710836692</v>
      </c>
    </row>
    <row r="334" spans="1:6">
      <c r="A334">
        <f t="shared" si="22"/>
        <v>333</v>
      </c>
      <c r="B334">
        <f t="shared" si="23"/>
        <v>39312.288710836692</v>
      </c>
      <c r="C334">
        <f>C2</f>
        <v>1516.963256383113</v>
      </c>
      <c r="D334">
        <f>B334*[1]Inputs!B12/12</f>
        <v>212.94156385036544</v>
      </c>
      <c r="E334">
        <f t="shared" si="20"/>
        <v>1304.0216925327477</v>
      </c>
      <c r="F334">
        <f t="shared" si="21"/>
        <v>38008.267018303944</v>
      </c>
    </row>
    <row r="335" spans="1:6">
      <c r="A335">
        <f t="shared" si="22"/>
        <v>334</v>
      </c>
      <c r="B335">
        <f t="shared" si="23"/>
        <v>38008.267018303944</v>
      </c>
      <c r="C335">
        <f>C2</f>
        <v>1516.963256383113</v>
      </c>
      <c r="D335">
        <f>B335*[1]Inputs!B12/12</f>
        <v>205.87811301581303</v>
      </c>
      <c r="E335">
        <f t="shared" si="20"/>
        <v>1311.0851433673001</v>
      </c>
      <c r="F335">
        <f t="shared" si="21"/>
        <v>36697.181874936643</v>
      </c>
    </row>
    <row r="336" spans="1:6">
      <c r="A336">
        <f t="shared" si="22"/>
        <v>335</v>
      </c>
      <c r="B336">
        <f t="shared" si="23"/>
        <v>36697.181874936643</v>
      </c>
      <c r="C336">
        <f>C2</f>
        <v>1516.963256383113</v>
      </c>
      <c r="D336">
        <f>B336*[1]Inputs!B12/12</f>
        <v>198.77640182257349</v>
      </c>
      <c r="E336">
        <f t="shared" si="20"/>
        <v>1318.1868545605396</v>
      </c>
      <c r="F336">
        <f t="shared" si="21"/>
        <v>35378.995020376104</v>
      </c>
    </row>
    <row r="337" spans="1:6">
      <c r="A337">
        <f t="shared" si="22"/>
        <v>336</v>
      </c>
      <c r="B337">
        <f t="shared" si="23"/>
        <v>35378.995020376104</v>
      </c>
      <c r="C337">
        <f>C2</f>
        <v>1516.963256383113</v>
      </c>
      <c r="D337">
        <f>B337*[1]Inputs!B12/12</f>
        <v>191.63622302703723</v>
      </c>
      <c r="E337">
        <f t="shared" si="20"/>
        <v>1325.3270333560758</v>
      </c>
      <c r="F337">
        <f t="shared" si="21"/>
        <v>34053.667987020031</v>
      </c>
    </row>
    <row r="338" spans="1:6">
      <c r="A338">
        <f t="shared" si="22"/>
        <v>337</v>
      </c>
      <c r="B338">
        <f t="shared" si="23"/>
        <v>34053.667987020031</v>
      </c>
      <c r="C338">
        <f>C2</f>
        <v>1516.963256383113</v>
      </c>
      <c r="D338">
        <f>B338*[1]Inputs!B12/12</f>
        <v>184.45736826302516</v>
      </c>
      <c r="E338">
        <f t="shared" si="20"/>
        <v>1332.505888120088</v>
      </c>
      <c r="F338">
        <f t="shared" si="21"/>
        <v>32721.162098899942</v>
      </c>
    </row>
    <row r="339" spans="1:6">
      <c r="A339">
        <f t="shared" si="22"/>
        <v>338</v>
      </c>
      <c r="B339">
        <f t="shared" si="23"/>
        <v>32721.162098899942</v>
      </c>
      <c r="C339">
        <f>C2</f>
        <v>1516.963256383113</v>
      </c>
      <c r="D339">
        <f>B339*[1]Inputs!B12/12</f>
        <v>177.23962803570802</v>
      </c>
      <c r="E339">
        <f t="shared" si="20"/>
        <v>1339.7236283474051</v>
      </c>
      <c r="F339">
        <f t="shared" si="21"/>
        <v>31381.438470552537</v>
      </c>
    </row>
    <row r="340" spans="1:6">
      <c r="A340">
        <f t="shared" si="22"/>
        <v>339</v>
      </c>
      <c r="B340">
        <f t="shared" si="23"/>
        <v>31381.438470552537</v>
      </c>
      <c r="C340">
        <f>C2</f>
        <v>1516.963256383113</v>
      </c>
      <c r="D340">
        <f>B340*[1]Inputs!B12/12</f>
        <v>169.98279171549291</v>
      </c>
      <c r="E340">
        <f t="shared" si="20"/>
        <v>1346.9804646676203</v>
      </c>
      <c r="F340">
        <f t="shared" si="21"/>
        <v>30034.458005884917</v>
      </c>
    </row>
    <row r="341" spans="1:6">
      <c r="A341">
        <f t="shared" si="22"/>
        <v>340</v>
      </c>
      <c r="B341">
        <f t="shared" si="23"/>
        <v>30034.458005884917</v>
      </c>
      <c r="C341">
        <f>C2</f>
        <v>1516.963256383113</v>
      </c>
      <c r="D341">
        <f>B341*[1]Inputs!B12/12</f>
        <v>162.68664753187664</v>
      </c>
      <c r="E341">
        <f t="shared" si="20"/>
        <v>1354.2766088512365</v>
      </c>
      <c r="F341">
        <f t="shared" si="21"/>
        <v>28680.181397033681</v>
      </c>
    </row>
    <row r="342" spans="1:6">
      <c r="A342">
        <f t="shared" si="22"/>
        <v>341</v>
      </c>
      <c r="B342">
        <f t="shared" si="23"/>
        <v>28680.181397033681</v>
      </c>
      <c r="C342">
        <f>C2</f>
        <v>1516.963256383113</v>
      </c>
      <c r="D342">
        <f>B342*[1]Inputs!B12/12</f>
        <v>155.35098256726579</v>
      </c>
      <c r="E342">
        <f t="shared" si="20"/>
        <v>1361.6122738158472</v>
      </c>
      <c r="F342">
        <f t="shared" si="21"/>
        <v>27318.569123217832</v>
      </c>
    </row>
    <row r="343" spans="1:6">
      <c r="A343">
        <f t="shared" si="22"/>
        <v>342</v>
      </c>
      <c r="B343">
        <f t="shared" si="23"/>
        <v>27318.569123217832</v>
      </c>
      <c r="C343">
        <f>C2</f>
        <v>1516.963256383113</v>
      </c>
      <c r="D343">
        <f>B343*[1]Inputs!B12/12</f>
        <v>147.97558275076327</v>
      </c>
      <c r="E343">
        <f t="shared" si="20"/>
        <v>1368.9876736323497</v>
      </c>
      <c r="F343">
        <f t="shared" si="21"/>
        <v>25949.581449585483</v>
      </c>
    </row>
    <row r="344" spans="1:6">
      <c r="A344">
        <f t="shared" si="22"/>
        <v>343</v>
      </c>
      <c r="B344">
        <f t="shared" si="23"/>
        <v>25949.581449585483</v>
      </c>
      <c r="C344">
        <f>C2</f>
        <v>1516.963256383113</v>
      </c>
      <c r="D344">
        <f>B344*[1]Inputs!B12/12</f>
        <v>140.56023285192137</v>
      </c>
      <c r="E344">
        <f t="shared" si="20"/>
        <v>1376.4030235311916</v>
      </c>
      <c r="F344">
        <f t="shared" si="21"/>
        <v>24573.178426054292</v>
      </c>
    </row>
    <row r="345" spans="1:6">
      <c r="A345">
        <f t="shared" si="22"/>
        <v>344</v>
      </c>
      <c r="B345">
        <f t="shared" si="23"/>
        <v>24573.178426054292</v>
      </c>
      <c r="C345">
        <f>C2</f>
        <v>1516.963256383113</v>
      </c>
      <c r="D345">
        <f>B345*[1]Inputs!B12/12</f>
        <v>133.10471647446076</v>
      </c>
      <c r="E345">
        <f t="shared" si="20"/>
        <v>1383.8585399086523</v>
      </c>
      <c r="F345">
        <f t="shared" si="21"/>
        <v>23189.31988614564</v>
      </c>
    </row>
    <row r="346" spans="1:6">
      <c r="A346">
        <f t="shared" si="22"/>
        <v>345</v>
      </c>
      <c r="B346">
        <f t="shared" si="23"/>
        <v>23189.31988614564</v>
      </c>
      <c r="C346">
        <f>C2</f>
        <v>1516.963256383113</v>
      </c>
      <c r="D346">
        <f>B346*[1]Inputs!B12/12</f>
        <v>125.60881604995556</v>
      </c>
      <c r="E346">
        <f t="shared" si="20"/>
        <v>1391.3544403331575</v>
      </c>
      <c r="F346">
        <f t="shared" si="21"/>
        <v>21797.965445812482</v>
      </c>
    </row>
    <row r="347" spans="1:6">
      <c r="A347">
        <f t="shared" si="22"/>
        <v>346</v>
      </c>
      <c r="B347">
        <f t="shared" si="23"/>
        <v>21797.965445812482</v>
      </c>
      <c r="C347">
        <f>C2</f>
        <v>1516.963256383113</v>
      </c>
      <c r="D347">
        <f>B347*[1]Inputs!B12/12</f>
        <v>118.07231283148428</v>
      </c>
      <c r="E347">
        <f t="shared" si="20"/>
        <v>1398.8909435516289</v>
      </c>
      <c r="F347">
        <f t="shared" si="21"/>
        <v>20399.074502260853</v>
      </c>
    </row>
    <row r="348" spans="1:6">
      <c r="A348">
        <f t="shared" si="22"/>
        <v>347</v>
      </c>
      <c r="B348">
        <f t="shared" si="23"/>
        <v>20399.074502260853</v>
      </c>
      <c r="C348">
        <f>C2</f>
        <v>1516.963256383113</v>
      </c>
      <c r="D348">
        <f>B348*[1]Inputs!B12/12</f>
        <v>110.49498688724628</v>
      </c>
      <c r="E348">
        <f t="shared" si="20"/>
        <v>1406.4682694958667</v>
      </c>
      <c r="F348">
        <f t="shared" si="21"/>
        <v>18992.606232764985</v>
      </c>
    </row>
    <row r="349" spans="1:6">
      <c r="A349">
        <f t="shared" si="22"/>
        <v>348</v>
      </c>
      <c r="B349">
        <f t="shared" si="23"/>
        <v>18992.606232764985</v>
      </c>
      <c r="C349">
        <f>C2</f>
        <v>1516.963256383113</v>
      </c>
      <c r="D349">
        <f>B349*[1]Inputs!B12/12</f>
        <v>102.87661709414368</v>
      </c>
      <c r="E349">
        <f t="shared" si="20"/>
        <v>1414.0866392889693</v>
      </c>
      <c r="F349">
        <f t="shared" si="21"/>
        <v>17578.519593476016</v>
      </c>
    </row>
    <row r="350" spans="1:6">
      <c r="A350">
        <f t="shared" si="22"/>
        <v>349</v>
      </c>
      <c r="B350">
        <f t="shared" si="23"/>
        <v>17578.519593476016</v>
      </c>
      <c r="C350">
        <f>C2</f>
        <v>1516.963256383113</v>
      </c>
      <c r="D350">
        <f>B350*[1]Inputs!B12/12</f>
        <v>95.21698113132841</v>
      </c>
      <c r="E350">
        <f t="shared" si="20"/>
        <v>1421.7462752517847</v>
      </c>
      <c r="F350">
        <f t="shared" si="21"/>
        <v>16156.773318224232</v>
      </c>
    </row>
    <row r="351" spans="1:6">
      <c r="A351">
        <f t="shared" si="22"/>
        <v>350</v>
      </c>
      <c r="B351">
        <f t="shared" si="23"/>
        <v>16156.773318224232</v>
      </c>
      <c r="C351">
        <f>C2</f>
        <v>1516.963256383113</v>
      </c>
      <c r="D351">
        <f>B351*[1]Inputs!B12/12</f>
        <v>87.515855473714581</v>
      </c>
      <c r="E351">
        <f t="shared" si="20"/>
        <v>1429.4474009093985</v>
      </c>
      <c r="F351">
        <f t="shared" si="21"/>
        <v>14727.325917314833</v>
      </c>
    </row>
    <row r="352" spans="1:6">
      <c r="A352">
        <f t="shared" si="22"/>
        <v>351</v>
      </c>
      <c r="B352">
        <f t="shared" si="23"/>
        <v>14727.325917314833</v>
      </c>
      <c r="C352">
        <f>C2</f>
        <v>1516.963256383113</v>
      </c>
      <c r="D352">
        <f>B352*[1]Inputs!B12/12</f>
        <v>79.773015385455338</v>
      </c>
      <c r="E352">
        <f t="shared" si="20"/>
        <v>1437.1902409976576</v>
      </c>
      <c r="F352">
        <f t="shared" si="21"/>
        <v>13290.135676317175</v>
      </c>
    </row>
    <row r="353" spans="1:6">
      <c r="A353">
        <f t="shared" si="22"/>
        <v>352</v>
      </c>
      <c r="B353">
        <f t="shared" si="23"/>
        <v>13290.135676317175</v>
      </c>
      <c r="C353">
        <f>C2</f>
        <v>1516.963256383113</v>
      </c>
      <c r="D353">
        <f>B353*[1]Inputs!B12/12</f>
        <v>71.988234913384701</v>
      </c>
      <c r="E353">
        <f t="shared" si="20"/>
        <v>1444.9750214697283</v>
      </c>
      <c r="F353">
        <f t="shared" si="21"/>
        <v>11845.160654847446</v>
      </c>
    </row>
    <row r="354" spans="1:6">
      <c r="A354">
        <f t="shared" si="22"/>
        <v>353</v>
      </c>
      <c r="B354">
        <f t="shared" si="23"/>
        <v>11845.160654847446</v>
      </c>
      <c r="C354">
        <f>C2</f>
        <v>1516.963256383113</v>
      </c>
      <c r="D354">
        <f>B354*[1]Inputs!B12/12</f>
        <v>64.161286880423674</v>
      </c>
      <c r="E354">
        <f t="shared" si="20"/>
        <v>1452.8019695026894</v>
      </c>
      <c r="F354">
        <f t="shared" si="21"/>
        <v>10392.358685344758</v>
      </c>
    </row>
    <row r="355" spans="1:6">
      <c r="A355">
        <f t="shared" si="22"/>
        <v>354</v>
      </c>
      <c r="B355">
        <f t="shared" si="23"/>
        <v>10392.358685344758</v>
      </c>
      <c r="C355">
        <f>C2</f>
        <v>1516.963256383113</v>
      </c>
      <c r="D355">
        <f>B355*[1]Inputs!B12/12</f>
        <v>56.291942878950778</v>
      </c>
      <c r="E355">
        <f t="shared" si="20"/>
        <v>1460.6713135041623</v>
      </c>
      <c r="F355">
        <f t="shared" si="21"/>
        <v>8931.687371840595</v>
      </c>
    </row>
    <row r="356" spans="1:6">
      <c r="A356">
        <f t="shared" si="22"/>
        <v>355</v>
      </c>
      <c r="B356">
        <f t="shared" si="23"/>
        <v>8931.687371840595</v>
      </c>
      <c r="C356">
        <f>C2</f>
        <v>1516.963256383113</v>
      </c>
      <c r="D356">
        <f>B356*[1]Inputs!B12/12</f>
        <v>48.379973264136559</v>
      </c>
      <c r="E356">
        <f t="shared" si="20"/>
        <v>1468.5832831189764</v>
      </c>
      <c r="F356">
        <f t="shared" si="21"/>
        <v>7463.1040887216186</v>
      </c>
    </row>
    <row r="357" spans="1:6">
      <c r="A357">
        <f t="shared" si="22"/>
        <v>356</v>
      </c>
      <c r="B357">
        <f t="shared" si="23"/>
        <v>7463.1040887216186</v>
      </c>
      <c r="C357">
        <f>C2</f>
        <v>1516.963256383113</v>
      </c>
      <c r="D357">
        <f>B357*[1]Inputs!B12/12</f>
        <v>40.4251471472421</v>
      </c>
      <c r="E357">
        <f t="shared" si="20"/>
        <v>1476.5381092358709</v>
      </c>
      <c r="F357">
        <f t="shared" si="21"/>
        <v>5986.5659794857474</v>
      </c>
    </row>
    <row r="358" spans="1:6">
      <c r="A358">
        <f t="shared" si="22"/>
        <v>357</v>
      </c>
      <c r="B358">
        <f t="shared" si="23"/>
        <v>5986.5659794857474</v>
      </c>
      <c r="C358">
        <f>C2</f>
        <v>1516.963256383113</v>
      </c>
      <c r="D358">
        <f>B358*[1]Inputs!B12/12</f>
        <v>32.42723238888113</v>
      </c>
      <c r="E358">
        <f t="shared" si="20"/>
        <v>1484.536023994232</v>
      </c>
      <c r="F358">
        <f t="shared" si="21"/>
        <v>4502.0299554915155</v>
      </c>
    </row>
    <row r="359" spans="1:6">
      <c r="A359">
        <f t="shared" si="22"/>
        <v>358</v>
      </c>
      <c r="B359">
        <f t="shared" si="23"/>
        <v>4502.0299554915155</v>
      </c>
      <c r="C359">
        <f>C2</f>
        <v>1516.963256383113</v>
      </c>
      <c r="D359">
        <f>B359*[1]Inputs!B12/12</f>
        <v>24.38599559224571</v>
      </c>
      <c r="E359">
        <f t="shared" si="20"/>
        <v>1492.5772607908673</v>
      </c>
      <c r="F359">
        <f t="shared" si="21"/>
        <v>3009.452694700648</v>
      </c>
    </row>
    <row r="360" spans="1:6">
      <c r="A360">
        <f t="shared" si="22"/>
        <v>359</v>
      </c>
      <c r="B360">
        <f t="shared" si="23"/>
        <v>3009.452694700648</v>
      </c>
      <c r="C360">
        <f>C2</f>
        <v>1516.963256383113</v>
      </c>
      <c r="D360">
        <f>B360*[1]Inputs!B12/12</f>
        <v>16.301202096295178</v>
      </c>
      <c r="E360">
        <f t="shared" si="20"/>
        <v>1500.6620542868179</v>
      </c>
      <c r="F360">
        <f t="shared" si="21"/>
        <v>1508.79064041383</v>
      </c>
    </row>
    <row r="361" spans="1:6">
      <c r="A361">
        <f t="shared" si="22"/>
        <v>360</v>
      </c>
      <c r="B361">
        <f t="shared" si="23"/>
        <v>1508.79064041383</v>
      </c>
      <c r="C361">
        <f>C2</f>
        <v>1516.963256383113</v>
      </c>
      <c r="D361">
        <f>B361*[1]Inputs!B12/12</f>
        <v>8.1726159689082465</v>
      </c>
      <c r="E361">
        <f t="shared" si="20"/>
        <v>1508.7906404142047</v>
      </c>
      <c r="F361">
        <f t="shared" si="21"/>
        <v>-3.7471181713044643E-10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B16-4484-4AD5-9E9B-0D694829F69F}">
  <dimension ref="A1:AK68"/>
  <sheetViews>
    <sheetView topLeftCell="Q1" workbookViewId="0">
      <selection activeCell="T70" sqref="T70"/>
    </sheetView>
  </sheetViews>
  <sheetFormatPr defaultRowHeight="14.4"/>
  <cols>
    <col min="1" max="1" width="15.5546875" customWidth="1"/>
    <col min="6" max="6" width="9.5546875" bestFit="1" customWidth="1"/>
  </cols>
  <sheetData>
    <row r="1" spans="1:37">
      <c r="A1" t="s">
        <v>109</v>
      </c>
      <c r="D1" t="s">
        <v>108</v>
      </c>
      <c r="E1" t="s">
        <v>107</v>
      </c>
    </row>
    <row r="2" spans="1:37">
      <c r="A2" t="s">
        <v>95</v>
      </c>
      <c r="B2">
        <v>5</v>
      </c>
      <c r="C2">
        <v>6</v>
      </c>
      <c r="D2">
        <v>7</v>
      </c>
      <c r="E2">
        <v>8</v>
      </c>
      <c r="F2">
        <v>9</v>
      </c>
      <c r="G2">
        <v>10</v>
      </c>
      <c r="H2">
        <v>11</v>
      </c>
      <c r="I2">
        <v>12</v>
      </c>
      <c r="J2">
        <v>13</v>
      </c>
      <c r="K2">
        <v>14</v>
      </c>
      <c r="L2">
        <v>15</v>
      </c>
      <c r="M2">
        <v>16</v>
      </c>
      <c r="N2">
        <v>17</v>
      </c>
      <c r="O2">
        <v>18</v>
      </c>
      <c r="P2">
        <v>19</v>
      </c>
      <c r="Q2">
        <v>20</v>
      </c>
      <c r="R2">
        <v>21</v>
      </c>
      <c r="S2">
        <v>22</v>
      </c>
      <c r="T2">
        <v>23</v>
      </c>
      <c r="U2">
        <v>24</v>
      </c>
      <c r="V2">
        <v>25</v>
      </c>
      <c r="W2">
        <v>26</v>
      </c>
      <c r="X2">
        <v>27</v>
      </c>
      <c r="Y2">
        <v>28</v>
      </c>
      <c r="Z2">
        <v>29</v>
      </c>
      <c r="AA2">
        <v>30</v>
      </c>
      <c r="AB2">
        <v>31</v>
      </c>
      <c r="AC2">
        <v>32</v>
      </c>
      <c r="AD2">
        <v>33</v>
      </c>
      <c r="AE2">
        <v>34</v>
      </c>
      <c r="AF2">
        <v>35</v>
      </c>
      <c r="AG2">
        <v>36</v>
      </c>
      <c r="AH2">
        <v>37</v>
      </c>
      <c r="AI2">
        <v>38</v>
      </c>
      <c r="AJ2">
        <v>39</v>
      </c>
      <c r="AK2">
        <v>40</v>
      </c>
    </row>
    <row r="3" spans="1:37">
      <c r="A3" s="13">
        <v>2.5000000000000001E-2</v>
      </c>
      <c r="B3" s="17">
        <f t="shared" ref="B3:K12" si="0">PMT($A3/12,B$2*12,-1)*12</f>
        <v>0.21296833926576331</v>
      </c>
      <c r="C3" s="17">
        <f t="shared" si="0"/>
        <v>0.17965227572966722</v>
      </c>
      <c r="D3" s="17">
        <f t="shared" si="0"/>
        <v>0.15586991947599232</v>
      </c>
      <c r="E3" s="17">
        <f t="shared" si="0"/>
        <v>0.13804611976099179</v>
      </c>
      <c r="F3" s="17">
        <f t="shared" si="0"/>
        <v>0.12419468030056989</v>
      </c>
      <c r="G3" s="17">
        <f t="shared" si="0"/>
        <v>0.11312388204475746</v>
      </c>
      <c r="H3" s="17">
        <f t="shared" si="0"/>
        <v>0.10407535716662081</v>
      </c>
      <c r="I3" s="17">
        <f t="shared" si="0"/>
        <v>9.6543526057180751E-2</v>
      </c>
      <c r="J3" s="17">
        <f t="shared" si="0"/>
        <v>9.0178371092333551E-2</v>
      </c>
      <c r="K3" s="17">
        <f t="shared" si="0"/>
        <v>8.4729878785768126E-2</v>
      </c>
      <c r="L3" s="17">
        <f t="shared" ref="L3:U12" si="1">PMT($A3/12,L$2*12,-1)*12</f>
        <v>8.0014705081078358E-2</v>
      </c>
      <c r="M3" s="17">
        <f t="shared" si="1"/>
        <v>7.589534115966827E-2</v>
      </c>
      <c r="N3" s="17">
        <f t="shared" si="1"/>
        <v>7.2266632493237684E-2</v>
      </c>
      <c r="O3" s="17">
        <f t="shared" si="1"/>
        <v>6.9046791545729791E-2</v>
      </c>
      <c r="P3" s="17">
        <f t="shared" si="1"/>
        <v>6.6171248569671867E-2</v>
      </c>
      <c r="Q3" s="17">
        <f t="shared" si="1"/>
        <v>6.3588347163867603E-2</v>
      </c>
      <c r="R3" s="17">
        <f t="shared" si="1"/>
        <v>6.1256269671986441E-2</v>
      </c>
      <c r="S3" s="17">
        <f t="shared" si="1"/>
        <v>5.9140801109033692E-2</v>
      </c>
      <c r="T3" s="17">
        <f t="shared" si="1"/>
        <v>5.7213676411559569E-2</v>
      </c>
      <c r="U3" s="17">
        <f t="shared" si="1"/>
        <v>5.5451340875512782E-2</v>
      </c>
      <c r="V3" s="17">
        <f t="shared" ref="V3:AE12" si="2">PMT($A3/12,V$2*12,-1)*12</f>
        <v>5.3834008089194418E-2</v>
      </c>
      <c r="W3" s="17">
        <f t="shared" si="2"/>
        <v>5.2344935266473547E-2</v>
      </c>
      <c r="X3" s="17">
        <f t="shared" si="2"/>
        <v>5.0969859617229732E-2</v>
      </c>
      <c r="Y3" s="17">
        <f t="shared" si="2"/>
        <v>4.9696555495712037E-2</v>
      </c>
      <c r="Z3" s="17">
        <f t="shared" si="2"/>
        <v>4.8514483173520556E-2</v>
      </c>
      <c r="AA3" s="17">
        <f t="shared" si="2"/>
        <v>4.7414507858127841E-2</v>
      </c>
      <c r="AB3" s="17">
        <f t="shared" si="2"/>
        <v>4.6388673095040911E-2</v>
      </c>
      <c r="AC3" s="17">
        <f t="shared" si="2"/>
        <v>4.5430016657178107E-2</v>
      </c>
      <c r="AD3" s="17">
        <f t="shared" si="2"/>
        <v>4.4532419909018191E-2</v>
      </c>
      <c r="AE3" s="17">
        <f t="shared" si="2"/>
        <v>4.3690483753652788E-2</v>
      </c>
      <c r="AF3" s="17">
        <f t="shared" ref="AF3:AK12" si="3">PMT($A3/12,AF$2*12,-1)*12</f>
        <v>4.2899425846158246E-2</v>
      </c>
      <c r="AG3" s="17">
        <f t="shared" si="3"/>
        <v>4.2154994938165359E-2</v>
      </c>
      <c r="AH3" s="17">
        <f t="shared" si="3"/>
        <v>4.14533991125864E-2</v>
      </c>
      <c r="AI3" s="17">
        <f t="shared" si="3"/>
        <v>4.0791245349782547E-2</v>
      </c>
      <c r="AJ3" s="17">
        <f t="shared" si="3"/>
        <v>4.0165488391320156E-2</v>
      </c>
      <c r="AK3" s="17">
        <f t="shared" si="3"/>
        <v>3.9573387274234532E-2</v>
      </c>
    </row>
    <row r="4" spans="1:37">
      <c r="A4" s="13">
        <v>2.75E-2</v>
      </c>
      <c r="B4" s="17">
        <f t="shared" si="0"/>
        <v>0.21429372399254204</v>
      </c>
      <c r="C4" s="17">
        <f t="shared" si="0"/>
        <v>0.18098508754864093</v>
      </c>
      <c r="D4" s="17">
        <f t="shared" si="0"/>
        <v>0.15721114072821518</v>
      </c>
      <c r="E4" s="17">
        <f t="shared" si="0"/>
        <v>0.13939635954570789</v>
      </c>
      <c r="F4" s="17">
        <f t="shared" si="0"/>
        <v>0.12555433970392049</v>
      </c>
      <c r="G4" s="17">
        <f t="shared" si="0"/>
        <v>0.11449323675743536</v>
      </c>
      <c r="H4" s="17">
        <f t="shared" si="0"/>
        <v>0.10545460255143488</v>
      </c>
      <c r="I4" s="17">
        <f t="shared" si="0"/>
        <v>9.7932803441927632E-2</v>
      </c>
      <c r="J4" s="17">
        <f t="shared" si="0"/>
        <v>9.1577783953540187E-2</v>
      </c>
      <c r="K4" s="17">
        <f t="shared" si="0"/>
        <v>8.6139503156082833E-2</v>
      </c>
      <c r="L4" s="17">
        <f t="shared" si="1"/>
        <v>8.1434596491121003E-2</v>
      </c>
      <c r="M4" s="17">
        <f t="shared" si="1"/>
        <v>7.73255394141662E-2</v>
      </c>
      <c r="N4" s="17">
        <f t="shared" si="1"/>
        <v>7.3707165046047102E-2</v>
      </c>
      <c r="O4" s="17">
        <f t="shared" si="1"/>
        <v>7.0497675940993432E-2</v>
      </c>
      <c r="P4" s="17">
        <f t="shared" si="1"/>
        <v>6.7632494244214719E-2</v>
      </c>
      <c r="Q4" s="17">
        <f t="shared" si="1"/>
        <v>6.5059956802641927E-2</v>
      </c>
      <c r="R4" s="17">
        <f t="shared" si="1"/>
        <v>6.273824024443686E-2</v>
      </c>
      <c r="S4" s="17">
        <f t="shared" si="1"/>
        <v>6.0633124673561391E-2</v>
      </c>
      <c r="T4" s="17">
        <f t="shared" si="1"/>
        <v>5.8716340748728765E-2</v>
      </c>
      <c r="U4" s="17">
        <f t="shared" si="1"/>
        <v>5.6964329992950043E-2</v>
      </c>
      <c r="V4" s="17">
        <f t="shared" si="2"/>
        <v>5.535730262910122E-2</v>
      </c>
      <c r="W4" s="17">
        <f t="shared" si="2"/>
        <v>5.3878512838343509E-2</v>
      </c>
      <c r="X4" s="17">
        <f t="shared" si="2"/>
        <v>5.2513695072500782E-2</v>
      </c>
      <c r="Y4" s="17">
        <f t="shared" si="2"/>
        <v>5.1250621156897019E-2</v>
      </c>
      <c r="Z4" s="17">
        <f t="shared" si="2"/>
        <v>5.0078749027327965E-2</v>
      </c>
      <c r="AA4" s="17">
        <f t="shared" si="2"/>
        <v>4.89889417198612E-2</v>
      </c>
      <c r="AB4" s="17">
        <f t="shared" si="2"/>
        <v>4.797324074991495E-2</v>
      </c>
      <c r="AC4" s="17">
        <f t="shared" si="2"/>
        <v>4.7024681982953398E-2</v>
      </c>
      <c r="AD4" s="17">
        <f t="shared" si="2"/>
        <v>4.6137144983417838E-2</v>
      </c>
      <c r="AE4" s="17">
        <f t="shared" si="2"/>
        <v>4.5305228949308052E-2</v>
      </c>
      <c r="AF4" s="17">
        <f t="shared" si="3"/>
        <v>4.4524149915276916E-2</v>
      </c>
      <c r="AG4" s="17">
        <f t="shared" si="3"/>
        <v>4.3789655088686617E-2</v>
      </c>
      <c r="AH4" s="17">
        <f t="shared" si="3"/>
        <v>4.3097951077248287E-2</v>
      </c>
      <c r="AI4" s="17">
        <f t="shared" si="3"/>
        <v>4.2445643449262348E-2</v>
      </c>
      <c r="AJ4" s="17">
        <f t="shared" si="3"/>
        <v>4.1829685592396165E-2</v>
      </c>
      <c r="AK4" s="17">
        <f t="shared" si="3"/>
        <v>4.1247335243748337E-2</v>
      </c>
    </row>
    <row r="5" spans="1:37">
      <c r="A5" s="13">
        <v>0.03</v>
      </c>
      <c r="B5" s="17">
        <f t="shared" si="0"/>
        <v>0.21562428796875768</v>
      </c>
      <c r="C5" s="17">
        <f t="shared" si="0"/>
        <v>0.18232410983326489</v>
      </c>
      <c r="D5" s="17">
        <f t="shared" si="0"/>
        <v>0.15855960078554132</v>
      </c>
      <c r="E5" s="17">
        <f t="shared" si="0"/>
        <v>0.14075486316236288</v>
      </c>
      <c r="F5" s="17">
        <f t="shared" si="0"/>
        <v>0.12692328420907006</v>
      </c>
      <c r="G5" s="17">
        <f t="shared" si="0"/>
        <v>0.11587289363806744</v>
      </c>
      <c r="H5" s="17">
        <f t="shared" si="0"/>
        <v>0.10684516252055606</v>
      </c>
      <c r="I5" s="17">
        <f t="shared" si="0"/>
        <v>9.9334402733764732E-2</v>
      </c>
      <c r="J5" s="17">
        <f t="shared" si="0"/>
        <v>9.2990520510703362E-2</v>
      </c>
      <c r="K5" s="17">
        <f t="shared" si="0"/>
        <v>8.7563447041162062E-2</v>
      </c>
      <c r="L5" s="17">
        <f t="shared" si="1"/>
        <v>8.2869796833358808E-2</v>
      </c>
      <c r="M5" s="17">
        <f t="shared" si="1"/>
        <v>7.8772029190935525E-2</v>
      </c>
      <c r="N5" s="17">
        <f t="shared" si="1"/>
        <v>7.5164964463672823E-2</v>
      </c>
      <c r="O5" s="17">
        <f t="shared" si="1"/>
        <v>7.196679488212733E-2</v>
      </c>
      <c r="P5" s="17">
        <f t="shared" si="1"/>
        <v>6.9112934076835497E-2</v>
      </c>
      <c r="Q5" s="17">
        <f t="shared" si="1"/>
        <v>6.6551711742469447E-2</v>
      </c>
      <c r="R5" s="17">
        <f t="shared" si="1"/>
        <v>6.4241298398611091E-2</v>
      </c>
      <c r="S5" s="17">
        <f t="shared" si="1"/>
        <v>6.214746885275E-2</v>
      </c>
      <c r="T5" s="17">
        <f t="shared" si="1"/>
        <v>6.024194910829006E-2</v>
      </c>
      <c r="U5" s="17">
        <f t="shared" si="1"/>
        <v>5.8501176546088315E-2</v>
      </c>
      <c r="V5" s="17">
        <f t="shared" si="2"/>
        <v>5.6905357662920771E-2</v>
      </c>
      <c r="W5" s="17">
        <f t="shared" si="2"/>
        <v>5.5437743255379368E-2</v>
      </c>
      <c r="X5" s="17">
        <f t="shared" si="2"/>
        <v>5.4084064674442905E-2</v>
      </c>
      <c r="Y5" s="17">
        <f t="shared" si="2"/>
        <v>5.2832090883038106E-2</v>
      </c>
      <c r="Z5" s="17">
        <f t="shared" si="2"/>
        <v>5.1671277157233075E-2</v>
      </c>
      <c r="AA5" s="17">
        <f t="shared" si="2"/>
        <v>5.0592484047534053E-2</v>
      </c>
      <c r="AB5" s="17">
        <f t="shared" si="2"/>
        <v>4.9587750735085784E-2</v>
      </c>
      <c r="AC5" s="17">
        <f t="shared" si="2"/>
        <v>4.8650110883876121E-2</v>
      </c>
      <c r="AD5" s="17">
        <f t="shared" si="2"/>
        <v>4.7773441974626366E-2</v>
      </c>
      <c r="AE5" s="17">
        <f t="shared" si="2"/>
        <v>4.6952341227064889E-2</v>
      </c>
      <c r="AF5" s="17">
        <f t="shared" si="3"/>
        <v>4.6182022792894135E-2</v>
      </c>
      <c r="AG5" s="17">
        <f t="shared" si="3"/>
        <v>4.5458232083468587E-2</v>
      </c>
      <c r="AH5" s="17">
        <f t="shared" si="3"/>
        <v>4.4777173990468933E-2</v>
      </c>
      <c r="AI5" s="17">
        <f t="shared" si="3"/>
        <v>4.4135452440322964E-2</v>
      </c>
      <c r="AJ5" s="17">
        <f t="shared" si="3"/>
        <v>4.3530019248098448E-2</v>
      </c>
      <c r="AK5" s="17">
        <f t="shared" si="3"/>
        <v>4.2958130643447959E-2</v>
      </c>
    </row>
    <row r="6" spans="1:37">
      <c r="A6" s="13">
        <v>3.2500000000000001E-2</v>
      </c>
      <c r="B6" s="17">
        <f t="shared" si="0"/>
        <v>0.21696002772719242</v>
      </c>
      <c r="C6" s="17">
        <f t="shared" si="0"/>
        <v>0.18366933744916497</v>
      </c>
      <c r="D6" s="17">
        <f t="shared" si="0"/>
        <v>0.15991529231861767</v>
      </c>
      <c r="E6" s="17">
        <f t="shared" si="0"/>
        <v>0.14212162047346014</v>
      </c>
      <c r="F6" s="17">
        <f t="shared" si="0"/>
        <v>0.12830150017308239</v>
      </c>
      <c r="G6" s="17">
        <f t="shared" si="0"/>
        <v>0.11726283475822268</v>
      </c>
      <c r="H6" s="17">
        <f t="shared" si="0"/>
        <v>0.10824701399877656</v>
      </c>
      <c r="I6" s="17">
        <f t="shared" si="0"/>
        <v>0.10074829476988678</v>
      </c>
      <c r="J6" s="17">
        <f t="shared" si="0"/>
        <v>9.4416544494902249E-2</v>
      </c>
      <c r="K6" s="17">
        <f t="shared" si="0"/>
        <v>8.9001665971743318E-2</v>
      </c>
      <c r="L6" s="17">
        <f t="shared" si="1"/>
        <v>8.4320252270385948E-2</v>
      </c>
      <c r="M6" s="17">
        <f t="shared" si="1"/>
        <v>8.0234746045321187E-2</v>
      </c>
      <c r="N6" s="17">
        <f t="shared" si="1"/>
        <v>7.6639954386204287E-2</v>
      </c>
      <c r="O6" s="17">
        <f t="shared" si="1"/>
        <v>7.3454058719589876E-2</v>
      </c>
      <c r="P6" s="17">
        <f t="shared" si="1"/>
        <v>7.0612463690269689E-2</v>
      </c>
      <c r="Q6" s="17">
        <f t="shared" si="1"/>
        <v>6.8063491379321509E-2</v>
      </c>
      <c r="R6" s="17">
        <f t="shared" si="1"/>
        <v>6.5765305746602443E-2</v>
      </c>
      <c r="S6" s="17">
        <f t="shared" si="1"/>
        <v>6.3683675862605468E-2</v>
      </c>
      <c r="T6" s="17">
        <f t="shared" si="1"/>
        <v>6.1790322645930318E-2</v>
      </c>
      <c r="U6" s="17">
        <f t="shared" si="1"/>
        <v>6.0061678917201627E-2</v>
      </c>
      <c r="V6" s="17">
        <f t="shared" si="2"/>
        <v>5.8477947040799803E-2</v>
      </c>
      <c r="W6" s="17">
        <f t="shared" si="2"/>
        <v>5.7022374034579659E-2</v>
      </c>
      <c r="X6" s="17">
        <f t="shared" si="2"/>
        <v>5.5680687766959253E-2</v>
      </c>
      <c r="Y6" s="17">
        <f t="shared" si="2"/>
        <v>5.4440653969507702E-2</v>
      </c>
      <c r="Z6" s="17">
        <f t="shared" si="2"/>
        <v>5.329172490264289E-2</v>
      </c>
      <c r="AA6" s="17">
        <f t="shared" si="2"/>
        <v>5.2224758288685676E-2</v>
      </c>
      <c r="AB6" s="17">
        <f t="shared" si="2"/>
        <v>5.1231790645421771E-2</v>
      </c>
      <c r="AC6" s="17">
        <f t="shared" si="2"/>
        <v>5.0305853120033793E-2</v>
      </c>
      <c r="AD6" s="17">
        <f t="shared" si="2"/>
        <v>4.9440820808147698E-2</v>
      </c>
      <c r="AE6" s="17">
        <f t="shared" si="2"/>
        <v>4.8631288663974225E-2</v>
      </c>
      <c r="AF6" s="17">
        <f t="shared" si="3"/>
        <v>4.7872468683302034E-2</v>
      </c>
      <c r="AG6" s="17">
        <f t="shared" si="3"/>
        <v>4.7160104222930224E-2</v>
      </c>
      <c r="AH6" s="17">
        <f t="shared" si="3"/>
        <v>4.6490398214488068E-2</v>
      </c>
      <c r="AI6" s="17">
        <f t="shared" si="3"/>
        <v>4.5859952713126567E-2</v>
      </c>
      <c r="AJ6" s="17">
        <f t="shared" si="3"/>
        <v>4.5265717746595532E-2</v>
      </c>
      <c r="AK6" s="17">
        <f t="shared" si="3"/>
        <v>4.4704947837117141E-2</v>
      </c>
    </row>
    <row r="7" spans="1:37">
      <c r="A7" s="13">
        <v>3.5000000000000003E-2</v>
      </c>
      <c r="B7" s="17">
        <f t="shared" si="0"/>
        <v>0.21830093964307684</v>
      </c>
      <c r="C7" s="17">
        <f t="shared" si="0"/>
        <v>0.18502076499022146</v>
      </c>
      <c r="D7" s="17">
        <f t="shared" si="0"/>
        <v>0.16127820756794345</v>
      </c>
      <c r="E7" s="17">
        <f t="shared" si="0"/>
        <v>0.14349662070211511</v>
      </c>
      <c r="F7" s="17">
        <f t="shared" si="0"/>
        <v>0.12968897304725963</v>
      </c>
      <c r="G7" s="17">
        <f t="shared" si="0"/>
        <v>0.11866304095428398</v>
      </c>
      <c r="H7" s="17">
        <f t="shared" si="0"/>
        <v>0.10966013227772931</v>
      </c>
      <c r="I7" s="17">
        <f t="shared" si="0"/>
        <v>0.10217444828276959</v>
      </c>
      <c r="J7" s="17">
        <f t="shared" si="0"/>
        <v>9.5855816982811204E-2</v>
      </c>
      <c r="K7" s="17">
        <f t="shared" si="0"/>
        <v>9.0454112192340147E-2</v>
      </c>
      <c r="L7" s="17">
        <f t="shared" si="1"/>
        <v>8.5785904961181006E-2</v>
      </c>
      <c r="M7" s="17">
        <f t="shared" si="1"/>
        <v>8.17136207232462E-2</v>
      </c>
      <c r="N7" s="17">
        <f t="shared" si="1"/>
        <v>7.8132052747872355E-2</v>
      </c>
      <c r="O7" s="17">
        <f t="shared" si="1"/>
        <v>7.4959371109350165E-2</v>
      </c>
      <c r="P7" s="17">
        <f t="shared" si="1"/>
        <v>7.2130970931048519E-2</v>
      </c>
      <c r="Q7" s="17">
        <f t="shared" si="1"/>
        <v>6.9595166157971206E-2</v>
      </c>
      <c r="R7" s="17">
        <f t="shared" si="1"/>
        <v>6.7310113681547892E-2</v>
      </c>
      <c r="S7" s="17">
        <f t="shared" si="1"/>
        <v>6.5241576340895946E-2</v>
      </c>
      <c r="T7" s="17">
        <f t="shared" si="1"/>
        <v>6.3361269490269406E-2</v>
      </c>
      <c r="U7" s="17">
        <f t="shared" si="1"/>
        <v>6.1645620925839063E-2</v>
      </c>
      <c r="V7" s="17">
        <f t="shared" si="2"/>
        <v>6.0074828431139149E-2</v>
      </c>
      <c r="W7" s="17">
        <f t="shared" si="2"/>
        <v>5.863213481302753E-2</v>
      </c>
      <c r="X7" s="17">
        <f t="shared" si="2"/>
        <v>5.7303264041680194E-2</v>
      </c>
      <c r="Y7" s="17">
        <f t="shared" si="2"/>
        <v>5.6075978218562486E-2</v>
      </c>
      <c r="Z7" s="17">
        <f t="shared" si="2"/>
        <v>5.4939726206955114E-2</v>
      </c>
      <c r="AA7" s="17">
        <f t="shared" si="2"/>
        <v>5.3885362537058938E-2</v>
      </c>
      <c r="AB7" s="17">
        <f t="shared" si="2"/>
        <v>5.2904920717178588E-2</v>
      </c>
      <c r="AC7" s="17">
        <f t="shared" si="2"/>
        <v>5.1991429049610696E-2</v>
      </c>
      <c r="AD7" s="17">
        <f t="shared" si="2"/>
        <v>5.1138759935043077E-2</v>
      </c>
      <c r="AE7" s="17">
        <f t="shared" si="2"/>
        <v>5.0341505770728878E-2</v>
      </c>
      <c r="AF7" s="17">
        <f t="shared" si="3"/>
        <v>4.9594876123638901E-2</v>
      </c>
      <c r="AG7" s="17">
        <f t="shared" si="3"/>
        <v>4.889461204175044E-2</v>
      </c>
      <c r="AH7" s="17">
        <f t="shared" si="3"/>
        <v>4.8236914261083334E-2</v>
      </c>
      <c r="AI7" s="17">
        <f t="shared" si="3"/>
        <v>4.7618382748702046E-2</v>
      </c>
      <c r="AJ7" s="17">
        <f t="shared" si="3"/>
        <v>4.7035965546986726E-2</v>
      </c>
      <c r="AK7" s="17">
        <f t="shared" si="3"/>
        <v>4.6486915291415257E-2</v>
      </c>
    </row>
    <row r="8" spans="1:37">
      <c r="A8" s="13">
        <v>3.7499999999999999E-2</v>
      </c>
      <c r="B8" s="17">
        <f t="shared" si="0"/>
        <v>0.21964701993456009</v>
      </c>
      <c r="C8" s="17">
        <f t="shared" si="0"/>
        <v>0.18637838677954785</v>
      </c>
      <c r="D8" s="17">
        <f t="shared" si="0"/>
        <v>0.16264833834573483</v>
      </c>
      <c r="E8" s="17">
        <f t="shared" si="0"/>
        <v>0.14487985243537049</v>
      </c>
      <c r="F8" s="17">
        <f t="shared" si="0"/>
        <v>0.13108568738271412</v>
      </c>
      <c r="G8" s="17">
        <f t="shared" si="0"/>
        <v>0.12007349183638522</v>
      </c>
      <c r="H8" s="17">
        <f t="shared" si="0"/>
        <v>0.11108449102966915</v>
      </c>
      <c r="I8" s="17">
        <f t="shared" si="0"/>
        <v>0.10361282992071645</v>
      </c>
      <c r="J8" s="17">
        <f t="shared" si="0"/>
        <v>9.7308296426449725E-2</v>
      </c>
      <c r="K8" s="17">
        <f t="shared" si="0"/>
        <v>9.1920734703232768E-2</v>
      </c>
      <c r="L8" s="17">
        <f t="shared" si="1"/>
        <v>8.7266693119054717E-2</v>
      </c>
      <c r="M8" s="17">
        <f t="shared" si="1"/>
        <v>8.3208579239598277E-2</v>
      </c>
      <c r="N8" s="17">
        <f t="shared" si="1"/>
        <v>7.9641171881206327E-2</v>
      </c>
      <c r="O8" s="17">
        <f t="shared" si="1"/>
        <v>7.6482629149081938E-2</v>
      </c>
      <c r="P8" s="17">
        <f t="shared" si="1"/>
        <v>7.3668336045017671E-2</v>
      </c>
      <c r="Q8" s="17">
        <f t="shared" si="1"/>
        <v>7.1146597795226696E-2</v>
      </c>
      <c r="R8" s="17">
        <f t="shared" si="1"/>
        <v>6.8875563658150715E-2</v>
      </c>
      <c r="S8" s="17">
        <f t="shared" si="1"/>
        <v>6.6820989695798527E-2</v>
      </c>
      <c r="T8" s="17">
        <f t="shared" si="1"/>
        <v>6.4954585171799195E-2</v>
      </c>
      <c r="U8" s="17">
        <f t="shared" si="1"/>
        <v>6.3252772351623937E-2</v>
      </c>
      <c r="V8" s="17">
        <f t="shared" si="2"/>
        <v>6.1695743952282639E-2</v>
      </c>
      <c r="W8" s="17">
        <f t="shared" si="2"/>
        <v>6.0266738105014012E-2</v>
      </c>
      <c r="X8" s="17">
        <f t="shared" si="2"/>
        <v>5.8951474438627652E-2</v>
      </c>
      <c r="Y8" s="17">
        <f t="shared" si="2"/>
        <v>5.7737711003254394E-2</v>
      </c>
      <c r="Z8" s="17">
        <f t="shared" si="2"/>
        <v>5.6614892866050412E-2</v>
      </c>
      <c r="AA8" s="17">
        <f t="shared" si="2"/>
        <v>5.5573870988655336E-2</v>
      </c>
      <c r="AB8" s="17">
        <f t="shared" si="2"/>
        <v>5.4606675516254796E-2</v>
      </c>
      <c r="AC8" s="17">
        <f t="shared" si="2"/>
        <v>5.3706331575635702E-2</v>
      </c>
      <c r="AD8" s="17">
        <f t="shared" si="2"/>
        <v>5.2866708565103421E-2</v>
      </c>
      <c r="AE8" s="17">
        <f t="shared" si="2"/>
        <v>5.2082396040808408E-2</v>
      </c>
      <c r="AF8" s="17">
        <f t="shared" si="3"/>
        <v>5.1348600880133127E-2</v>
      </c>
      <c r="AG8" s="17">
        <f t="shared" si="3"/>
        <v>5.0661061584868231E-2</v>
      </c>
      <c r="AH8" s="17">
        <f t="shared" si="3"/>
        <v>5.0015976481452687E-2</v>
      </c>
      <c r="AI8" s="17">
        <f t="shared" si="3"/>
        <v>4.9409943258231726E-2</v>
      </c>
      <c r="AJ8" s="17">
        <f t="shared" si="3"/>
        <v>4.883990780482541E-2</v>
      </c>
      <c r="AK8" s="17">
        <f t="shared" si="3"/>
        <v>4.8303120725682755E-2</v>
      </c>
    </row>
    <row r="9" spans="1:37">
      <c r="A9" s="13">
        <v>0.04</v>
      </c>
      <c r="B9" s="17">
        <f t="shared" si="0"/>
        <v>0.22099826466319622</v>
      </c>
      <c r="C9" s="17">
        <f t="shared" si="0"/>
        <v>0.18774219687051008</v>
      </c>
      <c r="D9" s="17">
        <f t="shared" si="0"/>
        <v>0.16402567603787815</v>
      </c>
      <c r="E9" s="17">
        <f t="shared" si="0"/>
        <v>0.14627130362768245</v>
      </c>
      <c r="F9" s="17">
        <f t="shared" si="0"/>
        <v>0.13249162683624469</v>
      </c>
      <c r="G9" s="17">
        <f t="shared" si="0"/>
        <v>0.12149416579785777</v>
      </c>
      <c r="H9" s="17">
        <f t="shared" si="0"/>
        <v>0.11252006232206291</v>
      </c>
      <c r="I9" s="17">
        <f t="shared" si="0"/>
        <v>0.10506340426963247</v>
      </c>
      <c r="J9" s="17">
        <f t="shared" si="0"/>
        <v>9.8773938684729987E-2</v>
      </c>
      <c r="K9" s="17">
        <f t="shared" si="0"/>
        <v>9.3401479305006724E-2</v>
      </c>
      <c r="L9" s="17">
        <f t="shared" si="1"/>
        <v>8.8762551073112414E-2</v>
      </c>
      <c r="M9" s="17">
        <f t="shared" si="1"/>
        <v>8.4719542961347802E-2</v>
      </c>
      <c r="N9" s="17">
        <f t="shared" si="1"/>
        <v>8.1167218627423737E-2</v>
      </c>
      <c r="O9" s="17">
        <f t="shared" si="1"/>
        <v>7.8023723522410743E-2</v>
      </c>
      <c r="P9" s="17">
        <f t="shared" si="1"/>
        <v>7.5224431863077243E-2</v>
      </c>
      <c r="Q9" s="17">
        <f t="shared" si="1"/>
        <v>7.2717639515930244E-2</v>
      </c>
      <c r="R9" s="17">
        <f t="shared" si="1"/>
        <v>7.0461487488908348E-2</v>
      </c>
      <c r="S9" s="17">
        <f t="shared" si="1"/>
        <v>6.8421724473599718E-2</v>
      </c>
      <c r="T9" s="17">
        <f t="shared" si="1"/>
        <v>6.6570053074636704E-2</v>
      </c>
      <c r="U9" s="17">
        <f t="shared" si="1"/>
        <v>6.4882889484032161E-2</v>
      </c>
      <c r="V9" s="17">
        <f t="shared" si="2"/>
        <v>6.3340420835733269E-2</v>
      </c>
      <c r="W9" s="17">
        <f t="shared" si="2"/>
        <v>6.192588009558303E-2</v>
      </c>
      <c r="X9" s="17">
        <f t="shared" si="2"/>
        <v>6.0624982088487003E-2</v>
      </c>
      <c r="Y9" s="17">
        <f t="shared" si="2"/>
        <v>5.9425480378353532E-2</v>
      </c>
      <c r="Z9" s="17">
        <f t="shared" si="2"/>
        <v>5.8316815829322008E-2</v>
      </c>
      <c r="AA9" s="17">
        <f t="shared" si="2"/>
        <v>5.7289835455855129E-2</v>
      </c>
      <c r="AB9" s="17">
        <f t="shared" si="2"/>
        <v>5.6336565689896992E-2</v>
      </c>
      <c r="AC9" s="17">
        <f t="shared" si="2"/>
        <v>5.5450028161247888E-2</v>
      </c>
      <c r="AD9" s="17">
        <f t="shared" si="2"/>
        <v>5.4624088973089291E-2</v>
      </c>
      <c r="AE9" s="17">
        <f t="shared" si="2"/>
        <v>5.385333457649065E-2</v>
      </c>
      <c r="AF9" s="17">
        <f t="shared" si="3"/>
        <v>5.3132968923997825E-2</v>
      </c>
      <c r="AG9" s="17">
        <f t="shared" si="3"/>
        <v>5.2458727764604023E-2</v>
      </c>
      <c r="AH9" s="17">
        <f t="shared" si="3"/>
        <v>5.1826806837043417E-2</v>
      </c>
      <c r="AI9" s="17">
        <f t="shared" si="3"/>
        <v>5.1233801401098143E-2</v>
      </c>
      <c r="AJ9" s="17">
        <f t="shared" si="3"/>
        <v>5.0676655071803065E-2</v>
      </c>
      <c r="AK9" s="17">
        <f t="shared" si="3"/>
        <v>5.0152616328457689E-2</v>
      </c>
    </row>
    <row r="10" spans="1:37">
      <c r="A10" s="13">
        <v>4.2500000000000003E-2</v>
      </c>
      <c r="B10" s="17">
        <f t="shared" si="0"/>
        <v>0.22235466973444662</v>
      </c>
      <c r="C10" s="17">
        <f t="shared" si="0"/>
        <v>0.18911218904778743</v>
      </c>
      <c r="D10" s="17">
        <f t="shared" si="0"/>
        <v>0.16541021160597108</v>
      </c>
      <c r="E10" s="17">
        <f t="shared" si="0"/>
        <v>0.14767096160457654</v>
      </c>
      <c r="F10" s="17">
        <f t="shared" si="0"/>
        <v>0.13390677417651478</v>
      </c>
      <c r="G10" s="17">
        <f t="shared" si="0"/>
        <v>0.12292504002517982</v>
      </c>
      <c r="H10" s="17">
        <f t="shared" si="0"/>
        <v>0.11396681663297326</v>
      </c>
      <c r="I10" s="17">
        <f t="shared" si="0"/>
        <v>0.10652613387600013</v>
      </c>
      <c r="J10" s="17">
        <f t="shared" si="0"/>
        <v>0.10025269705675575</v>
      </c>
      <c r="K10" s="17">
        <f t="shared" si="0"/>
        <v>9.4896288645565735E-2</v>
      </c>
      <c r="L10" s="17">
        <f t="shared" si="1"/>
        <v>9.027340933311491E-2</v>
      </c>
      <c r="M10" s="17">
        <f t="shared" si="1"/>
        <v>8.6246428695219229E-2</v>
      </c>
      <c r="N10" s="17">
        <f t="shared" si="1"/>
        <v>8.2710094452788263E-2</v>
      </c>
      <c r="O10" s="17">
        <f t="shared" si="1"/>
        <v>7.9582538650827789E-2</v>
      </c>
      <c r="P10" s="17">
        <f t="shared" si="1"/>
        <v>7.6799123996593568E-2</v>
      </c>
      <c r="Q10" s="17">
        <f t="shared" si="1"/>
        <v>7.4308136300954147E-2</v>
      </c>
      <c r="R10" s="17">
        <f t="shared" si="1"/>
        <v>7.2067707654990362E-2</v>
      </c>
      <c r="S10" s="17">
        <f t="shared" si="1"/>
        <v>7.0043578744023768E-2</v>
      </c>
      <c r="T10" s="17">
        <f t="shared" si="1"/>
        <v>6.8207444909193837E-2</v>
      </c>
      <c r="U10" s="17">
        <f t="shared" si="1"/>
        <v>6.6535715696658698E-2</v>
      </c>
      <c r="V10" s="17">
        <f t="shared" si="2"/>
        <v>6.5008572117666766E-2</v>
      </c>
      <c r="W10" s="17">
        <f t="shared" si="2"/>
        <v>6.3609241466359462E-2</v>
      </c>
      <c r="X10" s="17">
        <f t="shared" si="2"/>
        <v>6.2323433291241778E-2</v>
      </c>
      <c r="Y10" s="17">
        <f t="shared" si="2"/>
        <v>6.1138896231702627E-2</v>
      </c>
      <c r="Z10" s="17">
        <f t="shared" si="2"/>
        <v>6.0045066545067638E-2</v>
      </c>
      <c r="AA10" s="17">
        <f t="shared" si="2"/>
        <v>5.9032786929538034E-2</v>
      </c>
      <c r="AB10" s="17">
        <f t="shared" si="2"/>
        <v>5.809407976956954E-2</v>
      </c>
      <c r="AC10" s="17">
        <f t="shared" si="2"/>
        <v>5.7221962898606649E-2</v>
      </c>
      <c r="AD10" s="17">
        <f t="shared" si="2"/>
        <v>5.6410298860171126E-2</v>
      </c>
      <c r="AE10" s="17">
        <f t="shared" si="2"/>
        <v>5.5653670770422978E-2</v>
      </c>
      <c r="AF10" s="17">
        <f t="shared" si="3"/>
        <v>5.4947279461744686E-2</v>
      </c>
      <c r="AG10" s="17">
        <f t="shared" si="3"/>
        <v>5.4286857769223984E-2</v>
      </c>
      <c r="AH10" s="17">
        <f t="shared" si="3"/>
        <v>5.3668598716643472E-2</v>
      </c>
      <c r="AI10" s="17">
        <f t="shared" si="3"/>
        <v>5.3089095041407332E-2</v>
      </c>
      <c r="AJ10" s="17">
        <f t="shared" si="3"/>
        <v>5.2545288023084488E-2</v>
      </c>
      <c r="AK10" s="17">
        <f t="shared" si="3"/>
        <v>5.2034423987314851E-2</v>
      </c>
    </row>
    <row r="11" spans="1:37">
      <c r="A11" s="13">
        <v>4.4999999999999998E-2</v>
      </c>
      <c r="B11" s="17">
        <f t="shared" si="0"/>
        <v>0.22371623089819981</v>
      </c>
      <c r="C11" s="17">
        <f t="shared" si="0"/>
        <v>0.19048835682847381</v>
      </c>
      <c r="D11" s="17">
        <f t="shared" si="0"/>
        <v>0.16680193558945064</v>
      </c>
      <c r="E11" s="17">
        <f t="shared" si="0"/>
        <v>0.14907881306647061</v>
      </c>
      <c r="F11" s="17">
        <f t="shared" si="0"/>
        <v>0.13533111129052736</v>
      </c>
      <c r="G11" s="17">
        <f t="shared" si="0"/>
        <v>0.12436609050841835</v>
      </c>
      <c r="H11" s="17">
        <f t="shared" si="0"/>
        <v>0.11542472286722003</v>
      </c>
      <c r="I11" s="17">
        <f t="shared" si="0"/>
        <v>0.10800097927102756</v>
      </c>
      <c r="J11" s="17">
        <f t="shared" si="0"/>
        <v>0.10174452231682519</v>
      </c>
      <c r="K11" s="17">
        <f t="shared" si="0"/>
        <v>9.6405102269540383E-2</v>
      </c>
      <c r="L11" s="17">
        <f t="shared" si="1"/>
        <v>9.17991946576142E-2</v>
      </c>
      <c r="M11" s="17">
        <f t="shared" si="1"/>
        <v>8.7789148779728612E-2</v>
      </c>
      <c r="N11" s="17">
        <f t="shared" si="1"/>
        <v>8.4269695570657097E-2</v>
      </c>
      <c r="O11" s="17">
        <f t="shared" si="1"/>
        <v>8.1158952852867464E-2</v>
      </c>
      <c r="P11" s="17">
        <f t="shared" si="1"/>
        <v>7.8392271041909836E-2</v>
      </c>
      <c r="Q11" s="17">
        <f t="shared" si="1"/>
        <v>7.591792514639549E-2</v>
      </c>
      <c r="R11" s="17">
        <f t="shared" si="1"/>
        <v>7.369403763067349E-2</v>
      </c>
      <c r="S11" s="17">
        <f t="shared" si="1"/>
        <v>7.168634050171753E-2</v>
      </c>
      <c r="T11" s="17">
        <f t="shared" si="1"/>
        <v>6.9866521203810955E-2</v>
      </c>
      <c r="U11" s="17">
        <f t="shared" si="1"/>
        <v>6.8210982043415053E-2</v>
      </c>
      <c r="V11" s="17">
        <f t="shared" si="2"/>
        <v>6.6699897355438686E-2</v>
      </c>
      <c r="W11" s="17">
        <f t="shared" si="2"/>
        <v>6.531648824944089E-2</v>
      </c>
      <c r="X11" s="17">
        <f t="shared" si="2"/>
        <v>6.404645852584287E-2</v>
      </c>
      <c r="Y11" s="17">
        <f t="shared" si="2"/>
        <v>6.2877551469345538E-2</v>
      </c>
      <c r="Z11" s="17">
        <f t="shared" si="2"/>
        <v>6.1799198342005972E-2</v>
      </c>
      <c r="AA11" s="17">
        <f t="shared" si="2"/>
        <v>6.080223717910567E-2</v>
      </c>
      <c r="AB11" s="17">
        <f t="shared" si="2"/>
        <v>5.9878686012718424E-2</v>
      </c>
      <c r="AC11" s="17">
        <f t="shared" si="2"/>
        <v>5.9021558616661141E-2</v>
      </c>
      <c r="AD11" s="17">
        <f t="shared" si="2"/>
        <v>5.8224713752895042E-2</v>
      </c>
      <c r="AE11" s="17">
        <f t="shared" si="2"/>
        <v>5.7482731021784771E-2</v>
      </c>
      <c r="AF11" s="17">
        <f t="shared" si="3"/>
        <v>5.6790807995221793E-2</v>
      </c>
      <c r="AG11" s="17">
        <f t="shared" si="3"/>
        <v>5.6144674494065551E-2</v>
      </c>
      <c r="AH11" s="17">
        <f t="shared" si="3"/>
        <v>5.5540520766183092E-2</v>
      </c>
      <c r="AI11" s="17">
        <f t="shared" si="3"/>
        <v>5.4974937004261953E-2</v>
      </c>
      <c r="AJ11" s="17">
        <f t="shared" si="3"/>
        <v>5.4444862167874988E-2</v>
      </c>
      <c r="AK11" s="17">
        <f t="shared" si="3"/>
        <v>5.3947540481386683E-2</v>
      </c>
    </row>
    <row r="12" spans="1:37">
      <c r="A12" s="13">
        <v>4.7500000000000001E-2</v>
      </c>
      <c r="B12" s="17">
        <f t="shared" si="0"/>
        <v>0.22508294374930632</v>
      </c>
      <c r="C12" s="17">
        <f t="shared" si="0"/>
        <v>0.19187069346321922</v>
      </c>
      <c r="D12" s="17">
        <f t="shared" si="0"/>
        <v>0.16820083810780728</v>
      </c>
      <c r="E12" s="17">
        <f t="shared" si="0"/>
        <v>0.15049484409266339</v>
      </c>
      <c r="F12" s="17">
        <f t="shared" si="0"/>
        <v>0.13676461919039132</v>
      </c>
      <c r="G12" s="17">
        <f t="shared" si="0"/>
        <v>0.12581729205215567</v>
      </c>
      <c r="H12" s="17">
        <f t="shared" si="0"/>
        <v>0.11689374837330202</v>
      </c>
      <c r="I12" s="17">
        <f t="shared" si="0"/>
        <v>0.10948789899593989</v>
      </c>
      <c r="J12" s="17">
        <f t="shared" si="0"/>
        <v>0.10324936275108665</v>
      </c>
      <c r="K12" s="17">
        <f t="shared" si="0"/>
        <v>9.7927856670011554E-2</v>
      </c>
      <c r="L12" s="17">
        <f t="shared" si="1"/>
        <v>9.3339830125237291E-2</v>
      </c>
      <c r="M12" s="17">
        <f t="shared" si="1"/>
        <v>8.9347611181392728E-2</v>
      </c>
      <c r="N12" s="17">
        <f t="shared" si="1"/>
        <v>8.5845913068929983E-2</v>
      </c>
      <c r="O12" s="17">
        <f t="shared" si="1"/>
        <v>8.2752838510130766E-2</v>
      </c>
      <c r="P12" s="17">
        <f t="shared" si="1"/>
        <v>8.000372479336329E-2</v>
      </c>
      <c r="Q12" s="17">
        <f t="shared" si="1"/>
        <v>7.7546835333146769E-2</v>
      </c>
      <c r="R12" s="17">
        <f t="shared" si="1"/>
        <v>7.5340282220210691E-2</v>
      </c>
      <c r="S12" s="17">
        <f t="shared" si="1"/>
        <v>7.3349788082382086E-2</v>
      </c>
      <c r="T12" s="17">
        <f t="shared" si="1"/>
        <v>7.1547031813357254E-2</v>
      </c>
      <c r="U12" s="17">
        <f t="shared" si="1"/>
        <v>6.9908407874053502E-2</v>
      </c>
      <c r="V12" s="17">
        <f t="shared" si="2"/>
        <v>6.8414083365730682E-2</v>
      </c>
      <c r="W12" s="17">
        <f t="shared" si="2"/>
        <v>6.704727270508698E-2</v>
      </c>
      <c r="X12" s="17">
        <f t="shared" si="2"/>
        <v>6.5793673485546655E-2</v>
      </c>
      <c r="Y12" s="17">
        <f t="shared" si="2"/>
        <v>6.4641023227753197E-2</v>
      </c>
      <c r="Z12" s="17">
        <f t="shared" si="2"/>
        <v>6.3578747838693994E-2</v>
      </c>
      <c r="AA12" s="17">
        <f t="shared" si="2"/>
        <v>6.2597680380373305E-2</v>
      </c>
      <c r="AB12" s="17">
        <f t="shared" si="2"/>
        <v>6.1689834271298885E-2</v>
      </c>
      <c r="AC12" s="17">
        <f t="shared" si="2"/>
        <v>6.0848219013238808E-2</v>
      </c>
      <c r="AD12" s="17">
        <f t="shared" si="2"/>
        <v>6.0066689422388728E-2</v>
      </c>
      <c r="AE12" s="17">
        <f t="shared" si="2"/>
        <v>5.9339821466653515E-2</v>
      </c>
      <c r="AF12" s="17">
        <f t="shared" si="3"/>
        <v>5.8662809387510159E-2</v>
      </c>
      <c r="AG12" s="17">
        <f t="shared" si="3"/>
        <v>5.8031379967490686E-2</v>
      </c>
      <c r="AH12" s="17">
        <f t="shared" si="3"/>
        <v>5.744172069924483E-2</v>
      </c>
      <c r="AI12" s="17">
        <f t="shared" si="3"/>
        <v>5.689041929510899E-2</v>
      </c>
      <c r="AJ12" s="17">
        <f t="shared" si="3"/>
        <v>5.6374412501466645E-2</v>
      </c>
      <c r="AK12" s="17">
        <f t="shared" si="3"/>
        <v>5.5890942589340131E-2</v>
      </c>
    </row>
    <row r="13" spans="1:37">
      <c r="A13" s="13">
        <v>0.05</v>
      </c>
      <c r="B13" s="17">
        <f t="shared" ref="B13:K22" si="4">PMT($A13/12,B$2*12,-1)*12</f>
        <v>0.22645480372813123</v>
      </c>
      <c r="C13" s="17">
        <f t="shared" si="4"/>
        <v>0.19325919193741117</v>
      </c>
      <c r="D13" s="17">
        <f t="shared" si="4"/>
        <v>0.16960690886288413</v>
      </c>
      <c r="E13" s="17">
        <f t="shared" si="4"/>
        <v>0.15191904014548555</v>
      </c>
      <c r="F13" s="17">
        <f t="shared" si="4"/>
        <v>0.1382072780203763</v>
      </c>
      <c r="G13" s="17">
        <f t="shared" si="4"/>
        <v>0.1272786182868903</v>
      </c>
      <c r="H13" s="17">
        <f t="shared" si="4"/>
        <v>0.11837385896106223</v>
      </c>
      <c r="I13" s="17">
        <f t="shared" si="4"/>
        <v>0.11098684962838226</v>
      </c>
      <c r="J13" s="17">
        <f t="shared" si="4"/>
        <v>0.1047671641957964</v>
      </c>
      <c r="K13" s="17">
        <f t="shared" si="4"/>
        <v>9.9464485342463826E-2</v>
      </c>
      <c r="L13" s="17">
        <f t="shared" ref="L13:U22" si="5">PMT($A13/12,L$2*12,-1)*12</f>
        <v>9.4895235208985351E-2</v>
      </c>
      <c r="M13" s="17">
        <f t="shared" si="5"/>
        <v>9.0921719594908926E-2</v>
      </c>
      <c r="N13" s="17">
        <f t="shared" si="5"/>
        <v>8.7438633042601757E-2</v>
      </c>
      <c r="O13" s="17">
        <f t="shared" si="5"/>
        <v>8.4364062239724258E-2</v>
      </c>
      <c r="P13" s="17">
        <f t="shared" si="5"/>
        <v>8.1633330464200793E-2</v>
      </c>
      <c r="Q13" s="17">
        <f t="shared" si="5"/>
        <v>7.9194688705998884E-2</v>
      </c>
      <c r="R13" s="17">
        <f t="shared" si="5"/>
        <v>7.7006237905985389E-2</v>
      </c>
      <c r="S13" s="17">
        <f t="shared" si="5"/>
        <v>7.5033690592014299E-2</v>
      </c>
      <c r="T13" s="17">
        <f t="shared" si="5"/>
        <v>7.3248716442771242E-2</v>
      </c>
      <c r="U13" s="17">
        <f t="shared" si="5"/>
        <v>7.1627701466383434E-2</v>
      </c>
      <c r="V13" s="17">
        <f t="shared" ref="V13:AE22" si="6">PMT($A13/12,V$2*12,-1)*12</f>
        <v>7.0150804980957493E-2</v>
      </c>
      <c r="W13" s="17">
        <f t="shared" si="6"/>
        <v>6.8801234218925589E-2</v>
      </c>
      <c r="X13" s="17">
        <f t="shared" si="6"/>
        <v>6.7564680133562677E-2</v>
      </c>
      <c r="Y13" s="17">
        <f t="shared" si="6"/>
        <v>6.6428874106510161E-2</v>
      </c>
      <c r="Z13" s="17">
        <f t="shared" si="6"/>
        <v>6.5383236372710124E-2</v>
      </c>
      <c r="AA13" s="17">
        <f t="shared" si="6"/>
        <v>6.4418594761456699E-2</v>
      </c>
      <c r="AB13" s="17">
        <f t="shared" si="6"/>
        <v>6.3526957875195286E-2</v>
      </c>
      <c r="AC13" s="17">
        <f t="shared" si="6"/>
        <v>6.2701330797305832E-2</v>
      </c>
      <c r="AD13" s="17">
        <f t="shared" si="6"/>
        <v>6.1935564307092197E-2</v>
      </c>
      <c r="AE13" s="17">
        <f t="shared" si="6"/>
        <v>6.1224230702986784E-2</v>
      </c>
      <c r="AF13" s="17">
        <f t="shared" ref="AF13:AK22" si="7">PMT($A13/12,AF$2*12,-1)*12</f>
        <v>6.056252091190667E-2</v>
      </c>
      <c r="AG13" s="17">
        <f t="shared" si="7"/>
        <v>5.9946158745395245E-2</v>
      </c>
      <c r="AH13" s="17">
        <f t="shared" si="7"/>
        <v>5.9371329058198558E-2</v>
      </c>
      <c r="AI13" s="17">
        <f t="shared" si="7"/>
        <v>5.8834617247963877E-2</v>
      </c>
      <c r="AJ13" s="17">
        <f t="shared" si="7"/>
        <v>5.8332958060164072E-2</v>
      </c>
      <c r="AK13" s="17">
        <f t="shared" si="7"/>
        <v>5.7863592069547519E-2</v>
      </c>
    </row>
    <row r="14" spans="1:37">
      <c r="A14" s="13">
        <v>5.2499999999999998E-2</v>
      </c>
      <c r="B14" s="17">
        <f t="shared" si="4"/>
        <v>0.22783180612112075</v>
      </c>
      <c r="C14" s="17">
        <f t="shared" si="4"/>
        <v>0.1946538449723953</v>
      </c>
      <c r="D14" s="17">
        <f t="shared" si="4"/>
        <v>0.17102013714125991</v>
      </c>
      <c r="E14" s="17">
        <f t="shared" si="4"/>
        <v>0.15335138607461149</v>
      </c>
      <c r="F14" s="17">
        <f t="shared" si="4"/>
        <v>0.13965906706424888</v>
      </c>
      <c r="G14" s="17">
        <f t="shared" si="4"/>
        <v>0.12875004168090284</v>
      </c>
      <c r="H14" s="17">
        <f t="shared" si="4"/>
        <v>0.11986501892007742</v>
      </c>
      <c r="I14" s="17">
        <f t="shared" si="4"/>
        <v>0.11249778580990311</v>
      </c>
      <c r="J14" s="17">
        <f t="shared" si="4"/>
        <v>0.10629787007712307</v>
      </c>
      <c r="K14" s="17">
        <f t="shared" si="4"/>
        <v>0.10101491884088162</v>
      </c>
      <c r="L14" s="17">
        <f t="shared" si="5"/>
        <v>9.6465325853411471E-2</v>
      </c>
      <c r="M14" s="17">
        <f t="shared" si="5"/>
        <v>9.2511373547097764E-2</v>
      </c>
      <c r="N14" s="17">
        <f t="shared" si="5"/>
        <v>8.9047736731111993E-2</v>
      </c>
      <c r="O14" s="17">
        <f t="shared" si="5"/>
        <v>8.5992485072672917E-2</v>
      </c>
      <c r="P14" s="17">
        <f t="shared" si="5"/>
        <v>8.3280926914769723E-2</v>
      </c>
      <c r="Q14" s="17">
        <f t="shared" si="5"/>
        <v>8.0861299961415847E-2</v>
      </c>
      <c r="R14" s="17">
        <f t="shared" si="5"/>
        <v>7.8691693206783916E-2</v>
      </c>
      <c r="S14" s="17">
        <f t="shared" si="5"/>
        <v>7.6737808347700512E-2</v>
      </c>
      <c r="T14" s="17">
        <f t="shared" si="5"/>
        <v>7.4971305183495623E-2</v>
      </c>
      <c r="U14" s="17">
        <f t="shared" si="5"/>
        <v>7.3368560672531974E-2</v>
      </c>
      <c r="V14" s="17">
        <f t="shared" si="6"/>
        <v>7.1909725820553105E-2</v>
      </c>
      <c r="W14" s="17">
        <f t="shared" si="6"/>
        <v>7.0578000214412656E-2</v>
      </c>
      <c r="X14" s="17">
        <f t="shared" si="6"/>
        <v>6.9359067773698491E-2</v>
      </c>
      <c r="Y14" s="17">
        <f t="shared" si="6"/>
        <v>6.8240653414916322E-2</v>
      </c>
      <c r="Z14" s="17">
        <f t="shared" si="6"/>
        <v>6.7212171441624918E-2</v>
      </c>
      <c r="AA14" s="17">
        <f t="shared" si="6"/>
        <v>6.6264444257027794E-2</v>
      </c>
      <c r="AB14" s="17">
        <f t="shared" si="6"/>
        <v>6.5389475519028822E-2</v>
      </c>
      <c r="AC14" s="17">
        <f t="shared" si="6"/>
        <v>6.4580265827778885E-2</v>
      </c>
      <c r="AD14" s="17">
        <f t="shared" si="6"/>
        <v>6.383066192303051E-2</v>
      </c>
      <c r="AE14" s="17">
        <f t="shared" si="6"/>
        <v>6.3135232491626614E-2</v>
      </c>
      <c r="AF14" s="17">
        <f t="shared" si="7"/>
        <v>6.2489165262543535E-2</v>
      </c>
      <c r="AG14" s="17">
        <f t="shared" si="7"/>
        <v>6.1888181249731111E-2</v>
      </c>
      <c r="AH14" s="17">
        <f t="shared" si="7"/>
        <v>6.1328462898102384E-2</v>
      </c>
      <c r="AI14" s="17">
        <f t="shared" si="7"/>
        <v>6.0806593571136776E-2</v>
      </c>
      <c r="AJ14" s="17">
        <f t="shared" si="7"/>
        <v>6.0319506344032089E-2</v>
      </c>
      <c r="AK14" s="17">
        <f t="shared" si="7"/>
        <v>5.9864440473580624E-2</v>
      </c>
    </row>
    <row r="15" spans="1:37">
      <c r="A15" s="13">
        <v>5.5E-2</v>
      </c>
      <c r="B15" s="17">
        <f t="shared" si="4"/>
        <v>0.22921394606138687</v>
      </c>
      <c r="C15" s="17">
        <f t="shared" si="4"/>
        <v>0.19605464502673606</v>
      </c>
      <c r="D15" s="17">
        <f t="shared" si="4"/>
        <v>0.17244051181671563</v>
      </c>
      <c r="E15" s="17">
        <f t="shared" si="4"/>
        <v>0.15479186612152954</v>
      </c>
      <c r="F15" s="17">
        <f t="shared" si="4"/>
        <v>0.14111996475288693</v>
      </c>
      <c r="G15" s="17">
        <f t="shared" si="4"/>
        <v>0.13023153355257688</v>
      </c>
      <c r="H15" s="17">
        <f t="shared" si="4"/>
        <v>0.12136719103875437</v>
      </c>
      <c r="I15" s="17">
        <f t="shared" si="4"/>
        <v>0.11402066027448413</v>
      </c>
      <c r="J15" s="17">
        <f t="shared" si="4"/>
        <v>0.10784142145244451</v>
      </c>
      <c r="K15" s="17">
        <f t="shared" si="4"/>
        <v>0.10257908483589848</v>
      </c>
      <c r="L15" s="17">
        <f t="shared" si="5"/>
        <v>9.8050014554536713E-2</v>
      </c>
      <c r="M15" s="17">
        <f t="shared" si="5"/>
        <v>9.411646850439627E-2</v>
      </c>
      <c r="N15" s="17">
        <f t="shared" si="5"/>
        <v>9.0673100660178391E-2</v>
      </c>
      <c r="O15" s="17">
        <f t="shared" si="5"/>
        <v>8.7637962637856046E-2</v>
      </c>
      <c r="P15" s="17">
        <f t="shared" si="5"/>
        <v>8.494634688735099E-2</v>
      </c>
      <c r="Q15" s="17">
        <f t="shared" si="5"/>
        <v>8.2546476943108626E-2</v>
      </c>
      <c r="R15" s="17">
        <f t="shared" si="5"/>
        <v>8.0396429045005546E-2</v>
      </c>
      <c r="S15" s="17">
        <f t="shared" si="5"/>
        <v>7.8461893328394247E-2</v>
      </c>
      <c r="T15" s="17">
        <f t="shared" si="5"/>
        <v>7.6714519060755854E-2</v>
      </c>
      <c r="U15" s="17">
        <f t="shared" si="5"/>
        <v>7.5130673576605689E-2</v>
      </c>
      <c r="V15" s="17">
        <f t="shared" si="6"/>
        <v>7.3690499073776436E-2</v>
      </c>
      <c r="W15" s="17">
        <f t="shared" si="6"/>
        <v>7.2377187076330382E-2</v>
      </c>
      <c r="X15" s="17">
        <f t="shared" si="6"/>
        <v>7.1176414130777355E-2</v>
      </c>
      <c r="Y15" s="17">
        <f t="shared" si="6"/>
        <v>7.0075898426103497E-2</v>
      </c>
      <c r="Z15" s="17">
        <f t="shared" si="6"/>
        <v>6.9065048148004238E-2</v>
      </c>
      <c r="AA15" s="17">
        <f t="shared" si="6"/>
        <v>6.8134680161640343E-2</v>
      </c>
      <c r="AB15" s="17">
        <f t="shared" si="6"/>
        <v>6.7276793141315933E-2</v>
      </c>
      <c r="AC15" s="17">
        <f t="shared" si="6"/>
        <v>6.6484383235914463E-2</v>
      </c>
      <c r="AD15" s="17">
        <f t="shared" si="6"/>
        <v>6.5751293246521486E-2</v>
      </c>
      <c r="AE15" s="17">
        <f t="shared" si="6"/>
        <v>6.5072088415895929E-2</v>
      </c>
      <c r="AF15" s="17">
        <f t="shared" si="7"/>
        <v>6.444195350671296E-2</v>
      </c>
      <c r="AG15" s="17">
        <f t="shared" si="7"/>
        <v>6.3856607028449072E-2</v>
      </c>
      <c r="AH15" s="17">
        <f t="shared" si="7"/>
        <v>6.3312229367984765E-2</v>
      </c>
      <c r="AI15" s="17">
        <f t="shared" si="7"/>
        <v>6.2805402262184729E-2</v>
      </c>
      <c r="AJ15" s="17">
        <f t="shared" si="7"/>
        <v>6.2333057576241462E-2</v>
      </c>
      <c r="AK15" s="17">
        <f t="shared" si="7"/>
        <v>6.1892433758853047E-2</v>
      </c>
    </row>
    <row r="16" spans="1:37">
      <c r="A16" s="13">
        <v>5.7500000000000002E-2</v>
      </c>
      <c r="B16" s="17">
        <f t="shared" si="4"/>
        <v>0.23060121852930629</v>
      </c>
      <c r="C16" s="17">
        <f t="shared" si="4"/>
        <v>0.1974615842975147</v>
      </c>
      <c r="D16" s="17">
        <f t="shared" si="4"/>
        <v>0.17386802135278218</v>
      </c>
      <c r="E16" s="17">
        <f t="shared" si="4"/>
        <v>0.15624046392416729</v>
      </c>
      <c r="F16" s="17">
        <f t="shared" si="4"/>
        <v>0.14258994867216501</v>
      </c>
      <c r="G16" s="17">
        <f t="shared" si="4"/>
        <v>0.13172306408316342</v>
      </c>
      <c r="H16" s="17">
        <f t="shared" si="4"/>
        <v>0.12288033662411207</v>
      </c>
      <c r="I16" s="17">
        <f t="shared" si="4"/>
        <v>0.11555542387808306</v>
      </c>
      <c r="J16" s="17">
        <f t="shared" si="4"/>
        <v>0.10939775705307811</v>
      </c>
      <c r="K16" s="17">
        <f t="shared" si="4"/>
        <v>0.10415690817490585</v>
      </c>
      <c r="L16" s="17">
        <f t="shared" si="5"/>
        <v>9.9649210442359915E-2</v>
      </c>
      <c r="M16" s="17">
        <f t="shared" si="5"/>
        <v>9.573689598368311E-2</v>
      </c>
      <c r="N16" s="17">
        <f t="shared" si="5"/>
        <v>9.231459678779351E-2</v>
      </c>
      <c r="O16" s="17">
        <f t="shared" si="5"/>
        <v>8.9300345351007712E-2</v>
      </c>
      <c r="P16" s="17">
        <f t="shared" si="5"/>
        <v>8.6629417246991219E-2</v>
      </c>
      <c r="Q16" s="17">
        <f t="shared" si="5"/>
        <v>8.4250020944526521E-2</v>
      </c>
      <c r="R16" s="17">
        <f t="shared" si="5"/>
        <v>8.2120219121623428E-2</v>
      </c>
      <c r="S16" s="17">
        <f t="shared" si="5"/>
        <v>8.0205689634107E-2</v>
      </c>
      <c r="T16" s="17">
        <f t="shared" si="5"/>
        <v>7.8478070589636351E-2</v>
      </c>
      <c r="U16" s="17">
        <f t="shared" si="5"/>
        <v>7.6913719161129962E-2</v>
      </c>
      <c r="V16" s="17">
        <f t="shared" si="6"/>
        <v>7.5492768290718965E-2</v>
      </c>
      <c r="W16" s="17">
        <f t="shared" si="6"/>
        <v>7.4198401081183696E-2</v>
      </c>
      <c r="X16" s="17">
        <f t="shared" si="6"/>
        <v>7.3016286435727967E-2</v>
      </c>
      <c r="Y16" s="17">
        <f t="shared" si="6"/>
        <v>7.1934135632456708E-2</v>
      </c>
      <c r="Z16" s="17">
        <f t="shared" si="6"/>
        <v>7.0941350640969653E-2</v>
      </c>
      <c r="AA16" s="17">
        <f t="shared" si="6"/>
        <v>7.0028742773226349E-2</v>
      </c>
      <c r="AB16" s="17">
        <f t="shared" si="6"/>
        <v>6.9188305785494925E-2</v>
      </c>
      <c r="AC16" s="17">
        <f t="shared" si="6"/>
        <v>6.8413031519053619E-2</v>
      </c>
      <c r="AD16" s="17">
        <f t="shared" si="6"/>
        <v>6.7696759055209943E-2</v>
      </c>
      <c r="AE16" s="17">
        <f t="shared" si="6"/>
        <v>6.7034050483660082E-2</v>
      </c>
      <c r="AF16" s="17">
        <f t="shared" si="7"/>
        <v>6.6420087960640542E-2</v>
      </c>
      <c r="AG16" s="17">
        <f t="shared" si="7"/>
        <v>6.585058791639517E-2</v>
      </c>
      <c r="AH16" s="17">
        <f t="shared" si="7"/>
        <v>6.5321729166782722E-2</v>
      </c>
      <c r="AI16" s="17">
        <f t="shared" si="7"/>
        <v>6.4830092367104991E-2</v>
      </c>
      <c r="AJ16" s="17">
        <f t="shared" si="7"/>
        <v>6.4372608771818399E-2</v>
      </c>
      <c r="AK16" s="17">
        <f t="shared" si="7"/>
        <v>6.3946516671118267E-2</v>
      </c>
    </row>
    <row r="17" spans="1:37">
      <c r="A17" s="13">
        <v>0.06</v>
      </c>
      <c r="B17" s="17">
        <f t="shared" si="4"/>
        <v>0.23199361835313498</v>
      </c>
      <c r="C17" s="17">
        <f t="shared" si="4"/>
        <v>0.19887465472166641</v>
      </c>
      <c r="D17" s="17">
        <f t="shared" si="4"/>
        <v>0.17530265380536947</v>
      </c>
      <c r="E17" s="17">
        <f t="shared" si="4"/>
        <v>0.15769716252167046</v>
      </c>
      <c r="F17" s="17">
        <f t="shared" si="4"/>
        <v>0.14406899557110708</v>
      </c>
      <c r="G17" s="17">
        <f t="shared" si="4"/>
        <v>0.13322460232997935</v>
      </c>
      <c r="H17" s="17">
        <f t="shared" si="4"/>
        <v>0.12440441552223086</v>
      </c>
      <c r="I17" s="17">
        <f t="shared" si="4"/>
        <v>0.11710202562915342</v>
      </c>
      <c r="J17" s="17">
        <f t="shared" si="4"/>
        <v>0.11096681332838712</v>
      </c>
      <c r="K17" s="17">
        <f t="shared" si="4"/>
        <v>0.10574831094402763</v>
      </c>
      <c r="L17" s="17">
        <f t="shared" si="5"/>
        <v>0.10126281936581416</v>
      </c>
      <c r="M17" s="17">
        <f t="shared" si="5"/>
        <v>9.73725436662147E-2</v>
      </c>
      <c r="N17" s="17">
        <f t="shared" si="5"/>
        <v>9.3972092654060355E-2</v>
      </c>
      <c r="O17" s="17">
        <f t="shared" si="5"/>
        <v>9.0979478608317815E-2</v>
      </c>
      <c r="P17" s="17">
        <f t="shared" si="5"/>
        <v>8.8329959227686633E-2</v>
      </c>
      <c r="Q17" s="17">
        <f t="shared" si="5"/>
        <v>8.5971727017379776E-2</v>
      </c>
      <c r="R17" s="17">
        <f t="shared" si="5"/>
        <v>8.3862830297708552E-2</v>
      </c>
      <c r="S17" s="17">
        <f t="shared" si="5"/>
        <v>8.196893395194739E-2</v>
      </c>
      <c r="T17" s="17">
        <f t="shared" si="5"/>
        <v>8.0261664337927127E-2</v>
      </c>
      <c r="U17" s="17">
        <f t="shared" si="5"/>
        <v>7.8717367979678446E-2</v>
      </c>
      <c r="V17" s="17">
        <f t="shared" si="6"/>
        <v>7.7316168178261022E-2</v>
      </c>
      <c r="W17" s="17">
        <f t="shared" si="6"/>
        <v>7.604123933045992E-2</v>
      </c>
      <c r="X17" s="17">
        <f t="shared" si="6"/>
        <v>7.4878242510405146E-2</v>
      </c>
      <c r="Y17" s="17">
        <f t="shared" si="6"/>
        <v>7.3814881996365198E-2</v>
      </c>
      <c r="Z17" s="17">
        <f t="shared" si="6"/>
        <v>7.2840553547176806E-2</v>
      </c>
      <c r="AA17" s="17">
        <f t="shared" si="6"/>
        <v>7.1946063018330286E-2</v>
      </c>
      <c r="AB17" s="17">
        <f t="shared" si="6"/>
        <v>7.1123399432969706E-2</v>
      </c>
      <c r="AC17" s="17">
        <f t="shared" si="6"/>
        <v>7.0365550594340492E-2</v>
      </c>
      <c r="AD17" s="17">
        <f t="shared" si="6"/>
        <v>6.9666352214419108E-2</v>
      </c>
      <c r="AE17" s="17">
        <f t="shared" si="6"/>
        <v>6.9020363657142383E-2</v>
      </c>
      <c r="AF17" s="17">
        <f t="shared" si="7"/>
        <v>6.8422764972249167E-2</v>
      </c>
      <c r="AG17" s="17">
        <f t="shared" si="7"/>
        <v>6.7869271078945484E-2</v>
      </c>
      <c r="AH17" s="17">
        <f t="shared" si="7"/>
        <v>6.7356059853999117E-2</v>
      </c>
      <c r="AI17" s="17">
        <f t="shared" si="7"/>
        <v>6.6879711562196964E-2</v>
      </c>
      <c r="AJ17" s="17">
        <f t="shared" si="7"/>
        <v>6.6437157592736162E-2</v>
      </c>
      <c r="AK17" s="17">
        <f t="shared" si="7"/>
        <v>6.6025636872486054E-2</v>
      </c>
    </row>
    <row r="18" spans="1:37">
      <c r="A18" s="13">
        <v>6.25E-2</v>
      </c>
      <c r="B18" s="17">
        <f t="shared" si="4"/>
        <v>0.23339114020963966</v>
      </c>
      <c r="C18" s="17">
        <f t="shared" si="4"/>
        <v>0.20029384797735553</v>
      </c>
      <c r="D18" s="17">
        <f t="shared" si="4"/>
        <v>0.1767443968254756</v>
      </c>
      <c r="E18" s="17">
        <f t="shared" si="4"/>
        <v>0.15916194435933229</v>
      </c>
      <c r="F18" s="17">
        <f t="shared" si="4"/>
        <v>0.14555708137029949</v>
      </c>
      <c r="G18" s="17">
        <f t="shared" si="4"/>
        <v>0.13473611624002815</v>
      </c>
      <c r="H18" s="17">
        <f t="shared" si="4"/>
        <v>0.12593938613934783</v>
      </c>
      <c r="I18" s="17">
        <f t="shared" si="4"/>
        <v>0.11866041272010683</v>
      </c>
      <c r="J18" s="17">
        <f t="shared" si="4"/>
        <v>0.11254852449120224</v>
      </c>
      <c r="K18" s="17">
        <f t="shared" si="4"/>
        <v>0.10735321253186367</v>
      </c>
      <c r="L18" s="17">
        <f t="shared" si="5"/>
        <v>0.1028907439800201</v>
      </c>
      <c r="M18" s="17">
        <f t="shared" si="5"/>
        <v>9.9023295514446441E-2</v>
      </c>
      <c r="N18" s="17">
        <f t="shared" si="5"/>
        <v>9.5645451534537601E-2</v>
      </c>
      <c r="O18" s="17">
        <f t="shared" si="5"/>
        <v>9.2675202984165206E-2</v>
      </c>
      <c r="P18" s="17">
        <f t="shared" si="5"/>
        <v>9.0047788683267516E-2</v>
      </c>
      <c r="Q18" s="17">
        <f t="shared" si="5"/>
        <v>8.7711384285308253E-2</v>
      </c>
      <c r="R18" s="17">
        <f t="shared" si="5"/>
        <v>8.5624022981333286E-2</v>
      </c>
      <c r="S18" s="17">
        <f t="shared" si="5"/>
        <v>8.375135602745705E-2</v>
      </c>
      <c r="T18" s="17">
        <f t="shared" si="5"/>
        <v>8.206499749374116E-2</v>
      </c>
      <c r="U18" s="17">
        <f t="shared" si="5"/>
        <v>8.0541282833156286E-2</v>
      </c>
      <c r="V18" s="17">
        <f t="shared" si="6"/>
        <v>7.9160325397805181E-2</v>
      </c>
      <c r="W18" s="17">
        <f t="shared" si="6"/>
        <v>7.7905290682843423E-2</v>
      </c>
      <c r="X18" s="17">
        <f t="shared" si="6"/>
        <v>7.6761831847390077E-2</v>
      </c>
      <c r="Y18" s="17">
        <f t="shared" si="6"/>
        <v>7.5717646190600743E-2</v>
      </c>
      <c r="Z18" s="17">
        <f t="shared" si="6"/>
        <v>7.4762123384452719E-2</v>
      </c>
      <c r="AA18" s="17">
        <f t="shared" si="6"/>
        <v>7.3886064051166989E-2</v>
      </c>
      <c r="AB18" s="17">
        <f t="shared" si="6"/>
        <v>7.3081452799014374E-2</v>
      </c>
      <c r="AC18" s="17">
        <f t="shared" si="6"/>
        <v>7.2341273801944911E-2</v>
      </c>
      <c r="AD18" s="17">
        <f t="shared" si="6"/>
        <v>7.1659359896988462E-2</v>
      </c>
      <c r="AE18" s="17">
        <f t="shared" si="6"/>
        <v>7.1030268297281457E-2</v>
      </c>
      <c r="AF18" s="17">
        <f t="shared" si="7"/>
        <v>7.0449177596336621E-2</v>
      </c>
      <c r="AG18" s="17">
        <f t="shared" si="7"/>
        <v>6.9911801922496714E-2</v>
      </c>
      <c r="AH18" s="17">
        <f t="shared" si="7"/>
        <v>6.9414318997999672E-2</v>
      </c>
      <c r="AI18" s="17">
        <f t="shared" si="7"/>
        <v>6.8953309540482108E-2</v>
      </c>
      <c r="AJ18" s="17">
        <f t="shared" si="7"/>
        <v>6.8525705970436529E-2</v>
      </c>
      <c r="AK18" s="17">
        <f t="shared" si="7"/>
        <v>6.8128748795545202E-2</v>
      </c>
    </row>
    <row r="19" spans="1:37">
      <c r="A19" s="13">
        <v>6.5000000000000002E-2</v>
      </c>
      <c r="B19" s="17">
        <f t="shared" si="4"/>
        <v>0.23479377862474249</v>
      </c>
      <c r="C19" s="17">
        <f t="shared" si="4"/>
        <v>0.2017191554853871</v>
      </c>
      <c r="D19" s="17">
        <f t="shared" si="4"/>
        <v>0.17819323766197304</v>
      </c>
      <c r="E19" s="17">
        <f t="shared" si="4"/>
        <v>0.16063479129367003</v>
      </c>
      <c r="F19" s="17">
        <f t="shared" si="4"/>
        <v>0.1470541811705591</v>
      </c>
      <c r="G19" s="17">
        <f t="shared" si="4"/>
        <v>0.13625757266403121</v>
      </c>
      <c r="H19" s="17">
        <f t="shared" si="4"/>
        <v>0.12748520546357639</v>
      </c>
      <c r="I19" s="17">
        <f t="shared" si="4"/>
        <v>0.12023053055967892</v>
      </c>
      <c r="J19" s="17">
        <f t="shared" si="4"/>
        <v>0.11414282256449645</v>
      </c>
      <c r="K19" s="17">
        <f t="shared" si="4"/>
        <v>0.10897152969490266</v>
      </c>
      <c r="L19" s="17">
        <f t="shared" si="5"/>
        <v>0.10453288383568339</v>
      </c>
      <c r="M19" s="17">
        <f t="shared" si="5"/>
        <v>0.10068903189151115</v>
      </c>
      <c r="N19" s="17">
        <f t="shared" si="5"/>
        <v>9.7334532596762474E-2</v>
      </c>
      <c r="O19" s="17">
        <f t="shared" si="5"/>
        <v>9.4387354432512491E-2</v>
      </c>
      <c r="P19" s="17">
        <f t="shared" si="5"/>
        <v>9.178271634233133E-2</v>
      </c>
      <c r="Q19" s="17">
        <f t="shared" si="5"/>
        <v>8.9468776261811642E-2</v>
      </c>
      <c r="R19" s="17">
        <f t="shared" si="5"/>
        <v>8.7403551518681358E-2</v>
      </c>
      <c r="S19" s="17">
        <f t="shared" si="5"/>
        <v>8.555267913971383E-2</v>
      </c>
      <c r="T19" s="17">
        <f t="shared" si="5"/>
        <v>8.3887760435940942E-2</v>
      </c>
      <c r="U19" s="17">
        <f t="shared" si="5"/>
        <v>8.2385119447263427E-2</v>
      </c>
      <c r="V19" s="17">
        <f t="shared" si="6"/>
        <v>8.1024859361716745E-2</v>
      </c>
      <c r="W19" s="17">
        <f t="shared" si="6"/>
        <v>7.9790136681627821E-2</v>
      </c>
      <c r="X19" s="17">
        <f t="shared" si="6"/>
        <v>7.8666596680236747E-2</v>
      </c>
      <c r="Y19" s="17">
        <f t="shared" si="6"/>
        <v>7.7641929822927211E-2</v>
      </c>
      <c r="Z19" s="17">
        <f t="shared" si="6"/>
        <v>7.6705519951754592E-2</v>
      </c>
      <c r="AA19" s="17">
        <f t="shared" si="6"/>
        <v>7.5848162819155657E-2</v>
      </c>
      <c r="AB19" s="17">
        <f t="shared" si="6"/>
        <v>7.5061839083129023E-2</v>
      </c>
      <c r="AC19" s="17">
        <f t="shared" si="6"/>
        <v>7.4339529848288274E-2</v>
      </c>
      <c r="AD19" s="17">
        <f t="shared" si="6"/>
        <v>7.3675065726002922E-2</v>
      </c>
      <c r="AE19" s="17">
        <f t="shared" si="6"/>
        <v>7.3063002510974404E-2</v>
      </c>
      <c r="AF19" s="17">
        <f t="shared" si="7"/>
        <v>7.2498518149521948E-2</v>
      </c>
      <c r="AG19" s="17">
        <f t="shared" si="7"/>
        <v>7.1977326858299273E-2</v>
      </c>
      <c r="AH19" s="17">
        <f t="shared" si="7"/>
        <v>7.1495607147742474E-2</v>
      </c>
      <c r="AI19" s="17">
        <f t="shared" si="7"/>
        <v>7.1049941188015178E-2</v>
      </c>
      <c r="AJ19" s="17">
        <f t="shared" si="7"/>
        <v>7.0637263480956947E-2</v>
      </c>
      <c r="AK19" s="17">
        <f t="shared" si="7"/>
        <v>7.0254817208983494E-2</v>
      </c>
    </row>
    <row r="20" spans="1:37">
      <c r="A20" s="13">
        <v>6.7500000000000004E-2</v>
      </c>
      <c r="B20" s="17">
        <f t="shared" si="4"/>
        <v>0.23620152797418326</v>
      </c>
      <c r="C20" s="17">
        <f t="shared" si="4"/>
        <v>0.20315056841065665</v>
      </c>
      <c r="D20" s="17">
        <f t="shared" si="4"/>
        <v>0.17964916316447455</v>
      </c>
      <c r="E20" s="17">
        <f t="shared" si="4"/>
        <v>0.16211568459764727</v>
      </c>
      <c r="F20" s="17">
        <f t="shared" si="4"/>
        <v>0.14856026926185106</v>
      </c>
      <c r="G20" s="17">
        <f t="shared" si="4"/>
        <v>0.13778893737085895</v>
      </c>
      <c r="H20" s="17">
        <f t="shared" si="4"/>
        <v>0.12904182908723072</v>
      </c>
      <c r="I20" s="17">
        <f t="shared" si="4"/>
        <v>0.12181232280616322</v>
      </c>
      <c r="J20" s="17">
        <f t="shared" si="4"/>
        <v>0.11574963742925168</v>
      </c>
      <c r="K20" s="17">
        <f t="shared" si="4"/>
        <v>0.11060317662450603</v>
      </c>
      <c r="L20" s="17">
        <f t="shared" si="5"/>
        <v>0.10618913547048256</v>
      </c>
      <c r="M20" s="17">
        <f t="shared" si="5"/>
        <v>0.10236962968312463</v>
      </c>
      <c r="N20" s="17">
        <f t="shared" si="5"/>
        <v>9.9039191059618392E-2</v>
      </c>
      <c r="O20" s="17">
        <f t="shared" si="5"/>
        <v>9.6115764491491895E-2</v>
      </c>
      <c r="P20" s="17">
        <f t="shared" si="5"/>
        <v>9.353454806657556E-2</v>
      </c>
      <c r="Q20" s="17">
        <f t="shared" si="5"/>
        <v>9.1243681171566671E-2</v>
      </c>
      <c r="R20" s="17">
        <f t="shared" si="5"/>
        <v>8.9201164588207066E-2</v>
      </c>
      <c r="S20" s="17">
        <f t="shared" si="5"/>
        <v>8.7372620578700988E-2</v>
      </c>
      <c r="T20" s="17">
        <f t="shared" si="5"/>
        <v>8.5729637305463305E-2</v>
      </c>
      <c r="U20" s="17">
        <f t="shared" si="5"/>
        <v>8.4248527148743521E-2</v>
      </c>
      <c r="V20" s="17">
        <f t="shared" si="6"/>
        <v>8.2909383025517619E-2</v>
      </c>
      <c r="W20" s="17">
        <f t="shared" si="6"/>
        <v>8.1695352473740129E-2</v>
      </c>
      <c r="X20" s="17">
        <f t="shared" si="6"/>
        <v>8.059207303987459E-2</v>
      </c>
      <c r="Y20" s="17">
        <f t="shared" si="6"/>
        <v>7.9587228639882546E-2</v>
      </c>
      <c r="Z20" s="17">
        <f t="shared" si="6"/>
        <v>7.8670197689567622E-2</v>
      </c>
      <c r="AA20" s="17">
        <f t="shared" si="6"/>
        <v>7.7831771588185827E-2</v>
      </c>
      <c r="AB20" s="17">
        <f t="shared" si="6"/>
        <v>7.7063927666223941E-2</v>
      </c>
      <c r="AC20" s="17">
        <f t="shared" si="6"/>
        <v>7.6359644680779049E-2</v>
      </c>
      <c r="AD20" s="17">
        <f t="shared" si="6"/>
        <v>7.571275183109108E-2</v>
      </c>
      <c r="AE20" s="17">
        <f t="shared" si="6"/>
        <v>7.5117804391134135E-2</v>
      </c>
      <c r="AF20" s="17">
        <f t="shared" si="7"/>
        <v>7.4569980634264191E-2</v>
      </c>
      <c r="AG20" s="17">
        <f t="shared" si="7"/>
        <v>7.4064995908486295E-2</v>
      </c>
      <c r="AH20" s="17">
        <f t="shared" si="7"/>
        <v>7.3599030616572497E-2</v>
      </c>
      <c r="AI20" s="17">
        <f t="shared" si="7"/>
        <v>7.3168669538791559E-2</v>
      </c>
      <c r="AJ20" s="17">
        <f t="shared" si="7"/>
        <v>7.2770850461797015E-2</v>
      </c>
      <c r="AK20" s="17">
        <f t="shared" si="7"/>
        <v>7.2402820484695443E-2</v>
      </c>
    </row>
    <row r="21" spans="1:37">
      <c r="A21" s="13">
        <v>7.0000000000000007E-2</v>
      </c>
      <c r="B21" s="17">
        <f t="shared" si="4"/>
        <v>0.23761438248419442</v>
      </c>
      <c r="C21" s="17">
        <f t="shared" si="4"/>
        <v>0.2045880776636354</v>
      </c>
      <c r="D21" s="17">
        <f t="shared" si="4"/>
        <v>0.18111215978627271</v>
      </c>
      <c r="E21" s="17">
        <f t="shared" si="4"/>
        <v>0.16360460496603776</v>
      </c>
      <c r="F21" s="17">
        <f t="shared" si="4"/>
        <v>0.15007531913244893</v>
      </c>
      <c r="G21" s="17">
        <f t="shared" si="4"/>
        <v>0.13933017506234888</v>
      </c>
      <c r="H21" s="17">
        <f t="shared" si="4"/>
        <v>0.13060921122973018</v>
      </c>
      <c r="I21" s="17">
        <f t="shared" si="4"/>
        <v>0.12340573140147373</v>
      </c>
      <c r="J21" s="17">
        <f t="shared" si="4"/>
        <v>0.11736889687345242</v>
      </c>
      <c r="K21" s="17">
        <f t="shared" si="4"/>
        <v>0.11224806501535989</v>
      </c>
      <c r="L21" s="17">
        <f t="shared" si="5"/>
        <v>0.10785939250229123</v>
      </c>
      <c r="M21" s="17">
        <f t="shared" si="5"/>
        <v>0.10406496242168711</v>
      </c>
      <c r="N21" s="17">
        <f t="shared" si="5"/>
        <v>0.10075927835521203</v>
      </c>
      <c r="O21" s="17">
        <f t="shared" si="5"/>
        <v>9.7860260490711393E-2</v>
      </c>
      <c r="P21" s="17">
        <f t="shared" si="5"/>
        <v>9.5303085111884914E-2</v>
      </c>
      <c r="Q21" s="17">
        <f t="shared" si="5"/>
        <v>9.303587227426495E-2</v>
      </c>
      <c r="R21" s="17">
        <f t="shared" si="5"/>
        <v>9.1016605596706018E-2</v>
      </c>
      <c r="S21" s="17">
        <f t="shared" si="5"/>
        <v>8.9210892123476521E-2</v>
      </c>
      <c r="T21" s="17">
        <f t="shared" si="5"/>
        <v>8.7590306575686047E-2</v>
      </c>
      <c r="U21" s="17">
        <f t="shared" si="5"/>
        <v>8.6131149538110213E-2</v>
      </c>
      <c r="V21" s="17">
        <f t="shared" si="6"/>
        <v>8.4813503673011006E-2</v>
      </c>
      <c r="W21" s="17">
        <f t="shared" si="6"/>
        <v>8.3620507716978751E-2</v>
      </c>
      <c r="X21" s="17">
        <f t="shared" si="6"/>
        <v>8.2537791793140025E-2</v>
      </c>
      <c r="Y21" s="17">
        <f t="shared" si="6"/>
        <v>8.1553033705033057E-2</v>
      </c>
      <c r="Z21" s="17">
        <f t="shared" si="6"/>
        <v>8.0655607005339788E-2</v>
      </c>
      <c r="AA21" s="17">
        <f t="shared" si="6"/>
        <v>7.9836299421501972E-2</v>
      </c>
      <c r="AB21" s="17">
        <f t="shared" si="6"/>
        <v>7.9087085747821556E-2</v>
      </c>
      <c r="AC21" s="17">
        <f t="shared" si="6"/>
        <v>7.8400943286596012E-2</v>
      </c>
      <c r="AD21" s="17">
        <f t="shared" si="6"/>
        <v>7.7771700810259969E-2</v>
      </c>
      <c r="AE21" s="17">
        <f t="shared" si="6"/>
        <v>7.719391414107897E-2</v>
      </c>
      <c r="AF21" s="17">
        <f t="shared" si="7"/>
        <v>7.6662763023191083E-2</v>
      </c>
      <c r="AG21" s="17">
        <f t="shared" si="7"/>
        <v>7.6173965145475253E-2</v>
      </c>
      <c r="AH21" s="17">
        <f t="shared" si="7"/>
        <v>7.5723704069475151E-2</v>
      </c>
      <c r="AI21" s="17">
        <f t="shared" si="7"/>
        <v>7.5308568500196918E-2</v>
      </c>
      <c r="AJ21" s="17">
        <f t="shared" si="7"/>
        <v>7.4925500863424491E-2</v>
      </c>
      <c r="AK21" s="17">
        <f t="shared" si="7"/>
        <v>7.4571753560698673E-2</v>
      </c>
    </row>
    <row r="22" spans="1:37">
      <c r="A22" s="13">
        <v>7.2499999999999995E-2</v>
      </c>
      <c r="B22" s="17">
        <f t="shared" si="4"/>
        <v>0.2390323362321928</v>
      </c>
      <c r="C22" s="17">
        <f t="shared" si="4"/>
        <v>0.20603167390189242</v>
      </c>
      <c r="D22" s="17">
        <f t="shared" si="4"/>
        <v>0.1825822135873566</v>
      </c>
      <c r="E22" s="17">
        <f t="shared" si="4"/>
        <v>0.16510153252092874</v>
      </c>
      <c r="F22" s="17">
        <f t="shared" si="4"/>
        <v>0.15159930347833236</v>
      </c>
      <c r="G22" s="17">
        <f t="shared" si="4"/>
        <v>0.14088124938849914</v>
      </c>
      <c r="H22" s="17">
        <f t="shared" si="4"/>
        <v>0.13218730476106449</v>
      </c>
      <c r="I22" s="17">
        <f t="shared" si="4"/>
        <v>0.12501069660599742</v>
      </c>
      <c r="J22" s="17">
        <f t="shared" si="4"/>
        <v>0.11900052664214349</v>
      </c>
      <c r="K22" s="17">
        <f t="shared" si="4"/>
        <v>0.11390610413529421</v>
      </c>
      <c r="L22" s="17">
        <f t="shared" si="5"/>
        <v>0.10954354572407833</v>
      </c>
      <c r="M22" s="17">
        <f t="shared" si="5"/>
        <v>0.10577490041234791</v>
      </c>
      <c r="N22" s="17">
        <f t="shared" si="5"/>
        <v>0.10249464229292715</v>
      </c>
      <c r="O22" s="17">
        <f t="shared" si="5"/>
        <v>9.9620665760814936E-2</v>
      </c>
      <c r="P22" s="17">
        <f t="shared" si="5"/>
        <v>9.708812439153558E-2</v>
      </c>
      <c r="Q22" s="17">
        <f t="shared" si="5"/>
        <v>9.4845118190121175E-2</v>
      </c>
      <c r="R22" s="17">
        <f t="shared" si="5"/>
        <v>9.2849613076186138E-2</v>
      </c>
      <c r="S22" s="17">
        <f t="shared" si="5"/>
        <v>9.1067200519719199E-2</v>
      </c>
      <c r="T22" s="17">
        <f t="shared" si="5"/>
        <v>8.9469441620048329E-2</v>
      </c>
      <c r="U22" s="17">
        <f t="shared" si="5"/>
        <v>8.8032625156643923E-2</v>
      </c>
      <c r="V22" s="17">
        <f t="shared" si="6"/>
        <v>8.6736823691659873E-2</v>
      </c>
      <c r="W22" s="17">
        <f t="shared" si="6"/>
        <v>8.5565167472272441E-2</v>
      </c>
      <c r="X22" s="17">
        <f t="shared" si="6"/>
        <v>8.4503279659692454E-2</v>
      </c>
      <c r="Y22" s="17">
        <f t="shared" si="6"/>
        <v>8.3538832547379968E-2</v>
      </c>
      <c r="Z22" s="17">
        <f t="shared" si="6"/>
        <v>8.266119555905338E-2</v>
      </c>
      <c r="AA22" s="17">
        <f t="shared" si="6"/>
        <v>8.1861153606743037E-2</v>
      </c>
      <c r="AB22" s="17">
        <f t="shared" si="6"/>
        <v>8.1130679917295209E-2</v>
      </c>
      <c r="AC22" s="17">
        <f t="shared" si="6"/>
        <v>8.0462751409098199E-2</v>
      </c>
      <c r="AD22" s="17">
        <f t="shared" si="6"/>
        <v>7.9851197590520964E-2</v>
      </c>
      <c r="AE22" s="17">
        <f t="shared" si="6"/>
        <v>7.9290576076344155E-2</v>
      </c>
      <c r="AF22" s="17">
        <f t="shared" si="7"/>
        <v>7.8776069396867793E-2</v>
      </c>
      <c r="AG22" s="17">
        <f t="shared" si="7"/>
        <v>7.8303398958171067E-2</v>
      </c>
      <c r="AH22" s="17">
        <f t="shared" si="7"/>
        <v>7.7868752907827576E-2</v>
      </c>
      <c r="AI22" s="17">
        <f t="shared" si="7"/>
        <v>7.7468725344019176E-2</v>
      </c>
      <c r="AJ22" s="17">
        <f t="shared" si="7"/>
        <v>7.7100264831850479E-2</v>
      </c>
      <c r="AK22" s="17">
        <f t="shared" si="7"/>
        <v>7.6760630598187482E-2</v>
      </c>
    </row>
    <row r="23" spans="1:37">
      <c r="A23" s="13">
        <v>7.4999999999999997E-2</v>
      </c>
      <c r="B23" s="17">
        <f t="shared" ref="B23:K32" si="8">PMT($A23/12,B$2*12,-1)*12</f>
        <v>0.24045538314748516</v>
      </c>
      <c r="C23" s="17">
        <f t="shared" si="8"/>
        <v>0.20748134753165137</v>
      </c>
      <c r="D23" s="17">
        <f t="shared" si="8"/>
        <v>0.18405931023750058</v>
      </c>
      <c r="E23" s="17">
        <f t="shared" si="8"/>
        <v>0.16660644681736037</v>
      </c>
      <c r="F23" s="17">
        <f t="shared" si="8"/>
        <v>0.15313219421281499</v>
      </c>
      <c r="G23" s="17">
        <f t="shared" si="8"/>
        <v>0.14244212296302505</v>
      </c>
      <c r="H23" s="17">
        <f t="shared" si="8"/>
        <v>0.13377606122579438</v>
      </c>
      <c r="I23" s="17">
        <f t="shared" si="8"/>
        <v>0.12662715703419766</v>
      </c>
      <c r="J23" s="17">
        <f t="shared" si="8"/>
        <v>0.12064445048848491</v>
      </c>
      <c r="K23" s="17">
        <f t="shared" si="8"/>
        <v>0.1155772008963647</v>
      </c>
      <c r="L23" s="17">
        <f t="shared" ref="L23:U32" si="9">PMT($A23/12,L$2*12,-1)*12</f>
        <v>0.11124148320032859</v>
      </c>
      <c r="M23" s="17">
        <f t="shared" si="9"/>
        <v>0.10749931086080153</v>
      </c>
      <c r="N23" s="17">
        <f t="shared" si="9"/>
        <v>0.10424512722532209</v>
      </c>
      <c r="O23" s="17">
        <f t="shared" si="9"/>
        <v>0.10139679984483288</v>
      </c>
      <c r="P23" s="17">
        <f t="shared" si="9"/>
        <v>9.8889458740887309E-2</v>
      </c>
      <c r="Q23" s="17">
        <f t="shared" si="9"/>
        <v>9.6671183226216872E-2</v>
      </c>
      <c r="R23" s="17">
        <f t="shared" si="9"/>
        <v>9.4699921080455579E-2</v>
      </c>
      <c r="S23" s="17">
        <f t="shared" si="9"/>
        <v>9.2941247955274489E-2</v>
      </c>
      <c r="T23" s="17">
        <f t="shared" si="9"/>
        <v>9.1366711275208221E-2</v>
      </c>
      <c r="U23" s="17">
        <f t="shared" si="9"/>
        <v>8.9952588145558246E-2</v>
      </c>
      <c r="V23" s="17">
        <f t="shared" ref="V23:AE32" si="10">PMT($A23/12,V$2*12,-1)*12</f>
        <v>8.8678941335695108E-2</v>
      </c>
      <c r="W23" s="17">
        <f t="shared" si="10"/>
        <v>8.752889307798295E-2</v>
      </c>
      <c r="X23" s="17">
        <f t="shared" si="10"/>
        <v>8.6488060203863362E-2</v>
      </c>
      <c r="Y23" s="17">
        <f t="shared" si="10"/>
        <v>8.5544110275990959E-2</v>
      </c>
      <c r="Z23" s="17">
        <f t="shared" si="10"/>
        <v>8.4686409504546534E-2</v>
      </c>
      <c r="AA23" s="17">
        <f t="shared" si="10"/>
        <v>8.3905741026333511E-2</v>
      </c>
      <c r="AB23" s="17">
        <f t="shared" si="10"/>
        <v>8.3194077653996334E-2</v>
      </c>
      <c r="AC23" s="17">
        <f t="shared" si="10"/>
        <v>8.2544397176476131E-2</v>
      </c>
      <c r="AD23" s="17">
        <f t="shared" si="10"/>
        <v>8.1950531181830058E-2</v>
      </c>
      <c r="AE23" s="17">
        <f t="shared" si="10"/>
        <v>8.1407040498536906E-2</v>
      </c>
      <c r="AF23" s="17">
        <f t="shared" ref="AF23:AK32" si="11">PMT($A23/12,AF$2*12,-1)*12</f>
        <v>8.0909111929962169E-2</v>
      </c>
      <c r="AG23" s="17">
        <f t="shared" si="11"/>
        <v>8.045247214054739E-2</v>
      </c>
      <c r="AH23" s="17">
        <f t="shared" si="11"/>
        <v>8.0033315448183318E-2</v>
      </c>
      <c r="AI23" s="17">
        <f t="shared" si="11"/>
        <v>7.9648242960907945E-2</v>
      </c>
      <c r="AJ23" s="17">
        <f t="shared" si="11"/>
        <v>7.9294211021953387E-2</v>
      </c>
      <c r="AK23" s="17">
        <f t="shared" si="11"/>
        <v>7.896848733469454E-2</v>
      </c>
    </row>
    <row r="24" spans="1:37">
      <c r="A24" s="13">
        <v>7.7499999999999902E-2</v>
      </c>
      <c r="B24" s="17">
        <f t="shared" si="8"/>
        <v>0.24188351701198826</v>
      </c>
      <c r="C24" s="17">
        <f t="shared" si="8"/>
        <v>0.20893708870938332</v>
      </c>
      <c r="D24" s="17">
        <f t="shared" si="8"/>
        <v>0.18554343501942602</v>
      </c>
      <c r="E24" s="17">
        <f t="shared" si="8"/>
        <v>0.16811932684909842</v>
      </c>
      <c r="F24" s="17">
        <f t="shared" si="8"/>
        <v>0.15467396247639686</v>
      </c>
      <c r="G24" s="17">
        <f t="shared" si="8"/>
        <v>0.14401275737926569</v>
      </c>
      <c r="H24" s="17">
        <f t="shared" si="8"/>
        <v>0.13537543086756601</v>
      </c>
      <c r="I24" s="17">
        <f t="shared" si="8"/>
        <v>0.12825504969092813</v>
      </c>
      <c r="J24" s="17">
        <f t="shared" si="8"/>
        <v>0.12230059022573977</v>
      </c>
      <c r="K24" s="17">
        <f t="shared" si="8"/>
        <v>0.11726125992709455</v>
      </c>
      <c r="L24" s="17">
        <f t="shared" si="9"/>
        <v>0.11295309036482587</v>
      </c>
      <c r="M24" s="17">
        <f t="shared" si="9"/>
        <v>0.1092380580025834</v>
      </c>
      <c r="N24" s="17">
        <f t="shared" si="9"/>
        <v>0.10601057421554079</v>
      </c>
      <c r="O24" s="17">
        <f t="shared" si="9"/>
        <v>0.10318847871086601</v>
      </c>
      <c r="P24" s="17">
        <f t="shared" si="9"/>
        <v>0.10070687718294638</v>
      </c>
      <c r="Q24" s="17">
        <f t="shared" si="9"/>
        <v>9.8513827702866485E-2</v>
      </c>
      <c r="R24" s="17">
        <f t="shared" si="9"/>
        <v>9.6567259580379552E-2</v>
      </c>
      <c r="S24" s="17">
        <f t="shared" si="9"/>
        <v>9.4832732532376951E-2</v>
      </c>
      <c r="T24" s="17">
        <f t="shared" si="9"/>
        <v>9.3281780398101088E-2</v>
      </c>
      <c r="U24" s="17">
        <f t="shared" si="9"/>
        <v>9.1890668895353259E-2</v>
      </c>
      <c r="V24" s="17">
        <f t="shared" si="10"/>
        <v>9.0639451474596622E-2</v>
      </c>
      <c r="W24" s="17">
        <f t="shared" si="10"/>
        <v>8.9511243003501301E-2</v>
      </c>
      <c r="X24" s="17">
        <f t="shared" si="10"/>
        <v>8.8491654798294475E-2</v>
      </c>
      <c r="Y24" s="17">
        <f t="shared" si="10"/>
        <v>8.7568350657332733E-2</v>
      </c>
      <c r="Z24" s="17">
        <f t="shared" si="10"/>
        <v>8.6730694682719559E-2</v>
      </c>
      <c r="AA24" s="17">
        <f t="shared" si="10"/>
        <v>8.5969469467085113E-2</v>
      </c>
      <c r="AB24" s="17">
        <f t="shared" si="10"/>
        <v>8.527664875195029E-2</v>
      </c>
      <c r="AC24" s="17">
        <f t="shared" si="10"/>
        <v>8.4645212638277151E-2</v>
      </c>
      <c r="AD24" s="17">
        <f t="shared" si="10"/>
        <v>8.4068996320100869E-2</v>
      </c>
      <c r="AE24" s="17">
        <f t="shared" si="10"/>
        <v>8.3542565437331934E-2</v>
      </c>
      <c r="AF24" s="17">
        <f t="shared" si="11"/>
        <v>8.3061112722501801E-2</v>
      </c>
      <c r="AG24" s="17">
        <f t="shared" si="11"/>
        <v>8.2620371800206177E-2</v>
      </c>
      <c r="AH24" s="17">
        <f t="shared" si="11"/>
        <v>8.2216544893948709E-2</v>
      </c>
      <c r="AI24" s="17">
        <f t="shared" si="11"/>
        <v>8.1846241878799769E-2</v>
      </c>
      <c r="AJ24" s="17">
        <f t="shared" si="11"/>
        <v>8.150642864417762E-2</v>
      </c>
      <c r="AK24" s="17">
        <f t="shared" si="11"/>
        <v>8.119438313858679E-2</v>
      </c>
    </row>
    <row r="25" spans="1:37">
      <c r="A25" s="13">
        <v>7.9999999999999905E-2</v>
      </c>
      <c r="B25" s="17">
        <f t="shared" si="8"/>
        <v>0.24331673146096416</v>
      </c>
      <c r="C25" s="17">
        <f t="shared" si="8"/>
        <v>0.21039888734343343</v>
      </c>
      <c r="D25" s="17">
        <f t="shared" si="8"/>
        <v>0.18703457283203442</v>
      </c>
      <c r="E25" s="17">
        <f t="shared" si="8"/>
        <v>0.16964015105453756</v>
      </c>
      <c r="F25" s="17">
        <f t="shared" si="8"/>
        <v>0.15622457864683453</v>
      </c>
      <c r="G25" s="17">
        <f t="shared" si="8"/>
        <v>0.14559311322642823</v>
      </c>
      <c r="H25" s="17">
        <f t="shared" si="8"/>
        <v>0.13698536265411612</v>
      </c>
      <c r="I25" s="17">
        <f t="shared" si="8"/>
        <v>0.12989431000841772</v>
      </c>
      <c r="J25" s="17">
        <f t="shared" si="8"/>
        <v>0.12396886578012865</v>
      </c>
      <c r="K25" s="17">
        <f t="shared" si="8"/>
        <v>0.11895818364577199</v>
      </c>
      <c r="L25" s="17">
        <f t="shared" si="9"/>
        <v>0.11467825011964211</v>
      </c>
      <c r="M25" s="17">
        <f t="shared" si="9"/>
        <v>0.11099100323363539</v>
      </c>
      <c r="N25" s="17">
        <f t="shared" si="9"/>
        <v>0.10779082120591202</v>
      </c>
      <c r="O25" s="17">
        <f t="shared" si="9"/>
        <v>0.10499551496565349</v>
      </c>
      <c r="P25" s="17">
        <f t="shared" si="9"/>
        <v>0.10254016519419591</v>
      </c>
      <c r="Q25" s="17">
        <f t="shared" si="9"/>
        <v>0.10037280827921546</v>
      </c>
      <c r="R25" s="17">
        <f t="shared" si="9"/>
        <v>9.8451354856794487E-2</v>
      </c>
      <c r="S25" s="17">
        <f t="shared" si="9"/>
        <v>9.6741348735284144E-2</v>
      </c>
      <c r="T25" s="17">
        <f t="shared" si="9"/>
        <v>9.5214310415348849E-2</v>
      </c>
      <c r="U25" s="17">
        <f t="shared" si="9"/>
        <v>9.3846494683495374E-2</v>
      </c>
      <c r="V25" s="17">
        <f t="shared" si="10"/>
        <v>9.2617946324760281E-2</v>
      </c>
      <c r="W25" s="17">
        <f t="shared" si="10"/>
        <v>9.1511773679622987E-2</v>
      </c>
      <c r="X25" s="17">
        <f t="shared" si="10"/>
        <v>9.0513583556532717E-2</v>
      </c>
      <c r="Y25" s="17">
        <f t="shared" si="10"/>
        <v>8.9611037152188572E-2</v>
      </c>
      <c r="Z25" s="17">
        <f t="shared" si="10"/>
        <v>8.8793497763283505E-2</v>
      </c>
      <c r="AA25" s="17">
        <f t="shared" si="10"/>
        <v>8.8051748865525054E-2</v>
      </c>
      <c r="AB25" s="17">
        <f t="shared" si="10"/>
        <v>8.7377766665613615E-2</v>
      </c>
      <c r="AC25" s="17">
        <f t="shared" si="10"/>
        <v>8.676453520642835E-2</v>
      </c>
      <c r="AD25" s="17">
        <f t="shared" si="10"/>
        <v>8.6205894996235308E-2</v>
      </c>
      <c r="AE25" s="17">
        <f t="shared" si="10"/>
        <v>8.5696418258107823E-2</v>
      </c>
      <c r="AF25" s="17">
        <f t="shared" si="11"/>
        <v>8.5231305474553154E-2</v>
      </c>
      <c r="AG25" s="17">
        <f t="shared" si="11"/>
        <v>8.4806299086393561E-2</v>
      </c>
      <c r="AH25" s="17">
        <f t="shared" si="11"/>
        <v>8.4417611100937914E-2</v>
      </c>
      <c r="AI25" s="17">
        <f t="shared" si="11"/>
        <v>8.4061862048205649E-2</v>
      </c>
      <c r="AJ25" s="17">
        <f t="shared" si="11"/>
        <v>8.3736029249853974E-2</v>
      </c>
      <c r="AK25" s="17">
        <f t="shared" si="11"/>
        <v>8.3437402772967836E-2</v>
      </c>
    </row>
    <row r="26" spans="1:37">
      <c r="A26" s="13">
        <v>8.2499999999999907E-2</v>
      </c>
      <c r="B26" s="17">
        <f t="shared" si="8"/>
        <v>0.24475501998376861</v>
      </c>
      <c r="C26" s="17">
        <f t="shared" si="8"/>
        <v>0.21186673309568188</v>
      </c>
      <c r="D26" s="17">
        <f t="shared" si="8"/>
        <v>0.18853270819370954</v>
      </c>
      <c r="E26" s="17">
        <f t="shared" si="8"/>
        <v>0.17116889732273088</v>
      </c>
      <c r="F26" s="17">
        <f t="shared" si="8"/>
        <v>0.15778401234942163</v>
      </c>
      <c r="G26" s="17">
        <f t="shared" si="8"/>
        <v>0.14718315010615696</v>
      </c>
      <c r="H26" s="17">
        <f t="shared" si="8"/>
        <v>0.1386058043027428</v>
      </c>
      <c r="I26" s="17">
        <f t="shared" si="8"/>
        <v>0.13154487188388486</v>
      </c>
      <c r="J26" s="17">
        <f t="shared" si="8"/>
        <v>0.12564919524448273</v>
      </c>
      <c r="K26" s="17">
        <f t="shared" si="8"/>
        <v>0.1206678723346986</v>
      </c>
      <c r="L26" s="17">
        <f t="shared" si="9"/>
        <v>0.11641684293517376</v>
      </c>
      <c r="M26" s="17">
        <f t="shared" si="9"/>
        <v>0.11275800524191104</v>
      </c>
      <c r="N26" s="17">
        <f t="shared" si="9"/>
        <v>0.10958570318741231</v>
      </c>
      <c r="O26" s="17">
        <f t="shared" si="9"/>
        <v>0.10681771806858234</v>
      </c>
      <c r="P26" s="17">
        <f t="shared" si="9"/>
        <v>0.10438910497010429</v>
      </c>
      <c r="Q26" s="17">
        <f t="shared" si="9"/>
        <v>0.10224787827730447</v>
      </c>
      <c r="R26" s="17">
        <f t="shared" si="9"/>
        <v>0.10035192989010763</v>
      </c>
      <c r="S26" s="17">
        <f t="shared" si="9"/>
        <v>9.8666787892116373E-2</v>
      </c>
      <c r="T26" s="17">
        <f t="shared" si="9"/>
        <v>9.7163959863558538E-2</v>
      </c>
      <c r="U26" s="17">
        <f t="shared" si="9"/>
        <v>9.5819690298691057E-2</v>
      </c>
      <c r="V26" s="17">
        <f t="shared" si="10"/>
        <v>9.461401616234244E-2</v>
      </c>
      <c r="W26" s="17">
        <f t="shared" si="10"/>
        <v>9.3530040303424544E-2</v>
      </c>
      <c r="X26" s="17">
        <f t="shared" si="10"/>
        <v>9.2553366232064643E-2</v>
      </c>
      <c r="Y26" s="17">
        <f t="shared" si="10"/>
        <v>9.1671653909452297E-2</v>
      </c>
      <c r="Z26" s="17">
        <f t="shared" si="10"/>
        <v>9.0874267332224562E-2</v>
      </c>
      <c r="AA26" s="17">
        <f t="shared" si="10"/>
        <v>9.0151992486110791E-2</v>
      </c>
      <c r="AB26" s="17">
        <f t="shared" si="10"/>
        <v>8.9496809773973812E-2</v>
      </c>
      <c r="AC26" s="17">
        <f t="shared" si="10"/>
        <v>8.8901708998329762E-2</v>
      </c>
      <c r="AD26" s="17">
        <f t="shared" si="10"/>
        <v>8.8360537869243957E-2</v>
      </c>
      <c r="AE26" s="17">
        <f t="shared" si="10"/>
        <v>8.7867877134040595E-2</v>
      </c>
      <c r="AF26" s="17">
        <f t="shared" si="11"/>
        <v>8.7418937004167849E-2</v>
      </c>
      <c r="AG26" s="17">
        <f t="shared" si="11"/>
        <v>8.7009470738668299E-2</v>
      </c>
      <c r="AH26" s="17">
        <f t="shared" si="11"/>
        <v>8.6635702139711709E-2</v>
      </c>
      <c r="AI26" s="17">
        <f t="shared" si="11"/>
        <v>8.6294264399369477E-2</v>
      </c>
      <c r="AJ26" s="17">
        <f t="shared" si="11"/>
        <v>8.5982148262675584E-2</v>
      </c>
      <c r="AK26" s="17">
        <f t="shared" si="11"/>
        <v>8.5696657879494847E-2</v>
      </c>
    </row>
    <row r="27" spans="1:37">
      <c r="A27" s="13">
        <v>8.4999999999999895E-2</v>
      </c>
      <c r="B27" s="17">
        <f t="shared" si="8"/>
        <v>0.24619837592461494</v>
      </c>
      <c r="C27" s="17">
        <f t="shared" si="8"/>
        <v>0.21334061538323854</v>
      </c>
      <c r="D27" s="17">
        <f t="shared" si="8"/>
        <v>0.19003782524568824</v>
      </c>
      <c r="E27" s="17">
        <f t="shared" si="8"/>
        <v>0.17270554299954372</v>
      </c>
      <c r="F27" s="17">
        <f t="shared" si="8"/>
        <v>0.15935223246747479</v>
      </c>
      <c r="G27" s="17">
        <f t="shared" si="8"/>
        <v>0.14878282664941322</v>
      </c>
      <c r="H27" s="17">
        <f t="shared" si="8"/>
        <v>0.14023670230621965</v>
      </c>
      <c r="I27" s="17">
        <f t="shared" si="8"/>
        <v>0.13320666771774103</v>
      </c>
      <c r="J27" s="17">
        <f t="shared" si="8"/>
        <v>0.12734149493263106</v>
      </c>
      <c r="K27" s="17">
        <f t="shared" si="8"/>
        <v>0.12239022421528531</v>
      </c>
      <c r="L27" s="17">
        <f t="shared" si="9"/>
        <v>0.11816874695107112</v>
      </c>
      <c r="M27" s="17">
        <f t="shared" si="9"/>
        <v>0.11453892013979683</v>
      </c>
      <c r="N27" s="17">
        <f t="shared" si="9"/>
        <v>0.11139505236967828</v>
      </c>
      <c r="O27" s="17">
        <f t="shared" si="9"/>
        <v>0.10865489454570823</v>
      </c>
      <c r="P27" s="17">
        <f t="shared" si="9"/>
        <v>0.10625347568974147</v>
      </c>
      <c r="Q27" s="17">
        <f t="shared" si="9"/>
        <v>0.10413878800386397</v>
      </c>
      <c r="R27" s="17">
        <f t="shared" si="9"/>
        <v>0.10226870474565697</v>
      </c>
      <c r="S27" s="17">
        <f t="shared" si="9"/>
        <v>0.10060873862976527</v>
      </c>
      <c r="T27" s="17">
        <f t="shared" si="9"/>
        <v>9.9130384919146414E-2</v>
      </c>
      <c r="U27" s="17">
        <f t="shared" si="9"/>
        <v>9.780987865015664E-2</v>
      </c>
      <c r="V27" s="17">
        <f t="shared" si="10"/>
        <v>9.6627250015455635E-2</v>
      </c>
      <c r="W27" s="17">
        <f t="shared" si="10"/>
        <v>9.5565597615610148E-2</v>
      </c>
      <c r="X27" s="17">
        <f t="shared" si="10"/>
        <v>9.4610523081592304E-2</v>
      </c>
      <c r="Y27" s="17">
        <f t="shared" si="10"/>
        <v>9.3749686714496752E-2</v>
      </c>
      <c r="Z27" s="17">
        <f t="shared" si="10"/>
        <v>9.2972454922669368E-2</v>
      </c>
      <c r="AA27" s="17">
        <f t="shared" si="10"/>
        <v>9.2269618030119932E-2</v>
      </c>
      <c r="AB27" s="17">
        <f t="shared" si="10"/>
        <v>9.1633162561033932E-2</v>
      </c>
      <c r="AC27" s="17">
        <f t="shared" si="10"/>
        <v>9.105608608049677E-2</v>
      </c>
      <c r="AD27" s="17">
        <f t="shared" si="10"/>
        <v>9.0532245562589625E-2</v>
      </c>
      <c r="AE27" s="17">
        <f t="shared" si="10"/>
        <v>9.0056232382694848E-2</v>
      </c>
      <c r="AF27" s="17">
        <f t="shared" si="11"/>
        <v>8.9623268609830456E-2</v>
      </c>
      <c r="AG27" s="17">
        <f t="shared" si="11"/>
        <v>8.9229120458970398E-2</v>
      </c>
      <c r="AH27" s="17">
        <f t="shared" si="11"/>
        <v>8.8870025659312041E-2</v>
      </c>
      <c r="AI27" s="17">
        <f t="shared" si="11"/>
        <v>8.8542632178147326E-2</v>
      </c>
      <c r="AJ27" s="17">
        <f t="shared" si="11"/>
        <v>8.8243946265817136E-2</v>
      </c>
      <c r="AK27" s="17">
        <f t="shared" si="11"/>
        <v>8.7971288194650055E-2</v>
      </c>
    </row>
    <row r="28" spans="1:37">
      <c r="A28" s="13">
        <v>8.7499999999999897E-2</v>
      </c>
      <c r="B28" s="17">
        <f t="shared" si="8"/>
        <v>0.2476467924833505</v>
      </c>
      <c r="C28" s="17">
        <f t="shared" si="8"/>
        <v>0.21482052338017049</v>
      </c>
      <c r="D28" s="17">
        <f t="shared" si="8"/>
        <v>0.19154990775549852</v>
      </c>
      <c r="E28" s="17">
        <f t="shared" si="8"/>
        <v>0.17425006489392836</v>
      </c>
      <c r="F28" s="17">
        <f t="shared" si="8"/>
        <v>0.16092920715301617</v>
      </c>
      <c r="G28" s="17">
        <f t="shared" si="8"/>
        <v>0.15039210053365493</v>
      </c>
      <c r="H28" s="17">
        <f t="shared" si="8"/>
        <v>0.14187800195912856</v>
      </c>
      <c r="I28" s="17">
        <f t="shared" si="8"/>
        <v>0.13487962845234258</v>
      </c>
      <c r="J28" s="17">
        <f t="shared" si="8"/>
        <v>0.12904567943445358</v>
      </c>
      <c r="K28" s="17">
        <f t="shared" si="8"/>
        <v>0.12412513552389198</v>
      </c>
      <c r="L28" s="17">
        <f t="shared" si="9"/>
        <v>0.11993383807790443</v>
      </c>
      <c r="M28" s="17">
        <f t="shared" si="9"/>
        <v>0.11633360159712421</v>
      </c>
      <c r="N28" s="17">
        <f t="shared" si="9"/>
        <v>0.11321869835125525</v>
      </c>
      <c r="O28" s="17">
        <f t="shared" si="9"/>
        <v>0.11050684820336645</v>
      </c>
      <c r="P28" s="17">
        <f t="shared" si="9"/>
        <v>0.10813305377895022</v>
      </c>
      <c r="Q28" s="17">
        <f t="shared" si="9"/>
        <v>0.10604528506913211</v>
      </c>
      <c r="R28" s="17">
        <f t="shared" si="9"/>
        <v>0.10420139695394895</v>
      </c>
      <c r="S28" s="17">
        <f t="shared" si="9"/>
        <v>0.10256688732080058</v>
      </c>
      <c r="T28" s="17">
        <f t="shared" si="9"/>
        <v>0.10111323991641871</v>
      </c>
      <c r="U28" s="17">
        <f t="shared" si="9"/>
        <v>9.9816681360420462E-2</v>
      </c>
      <c r="V28" s="17">
        <f t="shared" si="10"/>
        <v>9.8657236334072751E-2</v>
      </c>
      <c r="W28" s="17">
        <f t="shared" si="10"/>
        <v>9.7618000648536762E-2</v>
      </c>
      <c r="X28" s="17">
        <f t="shared" si="10"/>
        <v>9.6684575690664687E-2</v>
      </c>
      <c r="Y28" s="17">
        <f t="shared" si="10"/>
        <v>9.584462389021231E-2</v>
      </c>
      <c r="Z28" s="17">
        <f t="shared" si="10"/>
        <v>9.5087515987327453E-2</v>
      </c>
      <c r="AA28" s="17">
        <f t="shared" si="10"/>
        <v>9.440404867360451E-2</v>
      </c>
      <c r="AB28" s="17">
        <f t="shared" si="10"/>
        <v>9.3786216711444159E-2</v>
      </c>
      <c r="AC28" s="17">
        <f t="shared" si="10"/>
        <v>9.3227027612078517E-2</v>
      </c>
      <c r="AD28" s="17">
        <f t="shared" si="10"/>
        <v>9.2720349843868607E-2</v>
      </c>
      <c r="AE28" s="17">
        <f t="shared" si="10"/>
        <v>9.2260787668269992E-2</v>
      </c>
      <c r="AF28" s="17">
        <f t="shared" si="11"/>
        <v>9.1843577279891744E-2</v>
      </c>
      <c r="AG28" s="17">
        <f t="shared" si="11"/>
        <v>9.1464500111211378E-2</v>
      </c>
      <c r="AH28" s="17">
        <f t="shared" si="11"/>
        <v>9.1119810058483991E-2</v>
      </c>
      <c r="AI28" s="17">
        <f t="shared" si="11"/>
        <v>9.0806172069025345E-2</v>
      </c>
      <c r="AJ28" s="17">
        <f t="shared" si="11"/>
        <v>9.0520610055806305E-2</v>
      </c>
      <c r="AK28" s="17">
        <f t="shared" si="11"/>
        <v>9.0260462512641942E-2</v>
      </c>
    </row>
    <row r="29" spans="1:37">
      <c r="A29" s="13">
        <v>8.99999999999999E-2</v>
      </c>
      <c r="B29" s="17">
        <f t="shared" si="8"/>
        <v>0.24910026271624802</v>
      </c>
      <c r="C29" s="17">
        <f t="shared" si="8"/>
        <v>0.21630644601926194</v>
      </c>
      <c r="D29" s="17">
        <f t="shared" si="8"/>
        <v>0.19306893912046258</v>
      </c>
      <c r="E29" s="17">
        <f t="shared" si="8"/>
        <v>0.17580243928431558</v>
      </c>
      <c r="F29" s="17">
        <f t="shared" si="8"/>
        <v>0.162514903837647</v>
      </c>
      <c r="G29" s="17">
        <f t="shared" si="8"/>
        <v>0.15201092850029935</v>
      </c>
      <c r="H29" s="17">
        <f t="shared" si="8"/>
        <v>0.14352964738458687</v>
      </c>
      <c r="I29" s="17">
        <f t="shared" si="8"/>
        <v>0.13656368361124865</v>
      </c>
      <c r="J29" s="17">
        <f t="shared" si="8"/>
        <v>0.13076166167153391</v>
      </c>
      <c r="K29" s="17">
        <f t="shared" si="8"/>
        <v>0.1258725005883071</v>
      </c>
      <c r="L29" s="17">
        <f t="shared" si="9"/>
        <v>0.12171199009941412</v>
      </c>
      <c r="M29" s="17">
        <f t="shared" si="9"/>
        <v>0.11814190097455401</v>
      </c>
      <c r="N29" s="17">
        <f t="shared" si="9"/>
        <v>0.1150564682897792</v>
      </c>
      <c r="O29" s="17">
        <f t="shared" si="9"/>
        <v>0.11237338034096489</v>
      </c>
      <c r="P29" s="17">
        <f t="shared" si="9"/>
        <v>0.11002761317153982</v>
      </c>
      <c r="Q29" s="17">
        <f t="shared" si="9"/>
        <v>0.10796711470202069</v>
      </c>
      <c r="R29" s="17">
        <f t="shared" si="9"/>
        <v>0.10614972188494254</v>
      </c>
      <c r="S29" s="17">
        <f t="shared" si="9"/>
        <v>0.10454091852137512</v>
      </c>
      <c r="T29" s="17">
        <f t="shared" si="9"/>
        <v>0.10311217785274224</v>
      </c>
      <c r="U29" s="17">
        <f t="shared" si="9"/>
        <v>0.10183971934033295</v>
      </c>
      <c r="V29" s="17">
        <f t="shared" si="10"/>
        <v>0.10070356363618113</v>
      </c>
      <c r="W29" s="17">
        <f t="shared" si="10"/>
        <v>9.9686805443370261E-2</v>
      </c>
      <c r="X29" s="17">
        <f t="shared" si="10"/>
        <v>9.8775047760088636E-2</v>
      </c>
      <c r="Y29" s="17">
        <f t="shared" si="10"/>
        <v>9.7955957149197762E-2</v>
      </c>
      <c r="Z29" s="17">
        <f t="shared" si="10"/>
        <v>9.7218910811165585E-2</v>
      </c>
      <c r="AA29" s="17">
        <f t="shared" si="10"/>
        <v>9.6554714033373817E-2</v>
      </c>
      <c r="AB29" s="17">
        <f t="shared" si="10"/>
        <v>9.5955372120722804E-2</v>
      </c>
      <c r="AC29" s="17">
        <f t="shared" si="10"/>
        <v>9.5413904888369816E-2</v>
      </c>
      <c r="AD29" s="17">
        <f t="shared" si="10"/>
        <v>9.4924194688847219E-2</v>
      </c>
      <c r="AE29" s="17">
        <f t="shared" si="10"/>
        <v>9.4480861071669947E-2</v>
      </c>
      <c r="AF29" s="17">
        <f t="shared" si="11"/>
        <v>9.407915675258291E-2</v>
      </c>
      <c r="AG29" s="17">
        <f t="shared" si="11"/>
        <v>9.3714880753705515E-2</v>
      </c>
      <c r="AH29" s="17">
        <f t="shared" si="11"/>
        <v>9.3384305471742923E-2</v>
      </c>
      <c r="AI29" s="17">
        <f t="shared" si="11"/>
        <v>9.30841151149953E-2</v>
      </c>
      <c r="AJ29" s="17">
        <f t="shared" si="11"/>
        <v>9.2811353475560451E-2</v>
      </c>
      <c r="AK29" s="17">
        <f t="shared" si="11"/>
        <v>9.2563379410373403E-2</v>
      </c>
    </row>
    <row r="30" spans="1:37">
      <c r="A30" s="13">
        <v>9.2499999999999902E-2</v>
      </c>
      <c r="B30" s="17">
        <f t="shared" si="8"/>
        <v>0.25055877953680988</v>
      </c>
      <c r="C30" s="17">
        <f t="shared" si="8"/>
        <v>0.21779837199380664</v>
      </c>
      <c r="D30" s="17">
        <f t="shared" si="8"/>
        <v>0.19459490237126467</v>
      </c>
      <c r="E30" s="17">
        <f t="shared" si="8"/>
        <v>0.17736264192512038</v>
      </c>
      <c r="F30" s="17">
        <f t="shared" si="8"/>
        <v>0.1641092892436051</v>
      </c>
      <c r="G30" s="17">
        <f t="shared" si="8"/>
        <v>0.15363926637245856</v>
      </c>
      <c r="H30" s="17">
        <f t="shared" si="8"/>
        <v>0.14519158156134493</v>
      </c>
      <c r="I30" s="17">
        <f t="shared" si="8"/>
        <v>0.13825876133894507</v>
      </c>
      <c r="J30" s="17">
        <f t="shared" si="8"/>
        <v>0.13248935295334502</v>
      </c>
      <c r="K30" s="17">
        <f t="shared" si="8"/>
        <v>0.12763221190476554</v>
      </c>
      <c r="L30" s="17">
        <f t="shared" si="9"/>
        <v>0.12350307477519339</v>
      </c>
      <c r="M30" s="17">
        <f t="shared" si="9"/>
        <v>0.11996366745711723</v>
      </c>
      <c r="N30" s="17">
        <f t="shared" si="9"/>
        <v>0.1169081870717954</v>
      </c>
      <c r="O30" s="17">
        <f t="shared" si="9"/>
        <v>0.11425428996256447</v>
      </c>
      <c r="P30" s="17">
        <f t="shared" si="9"/>
        <v>0.11193692556799224</v>
      </c>
      <c r="Q30" s="17">
        <f t="shared" si="9"/>
        <v>0.10990402006098952</v>
      </c>
      <c r="R30" s="17">
        <f t="shared" si="9"/>
        <v>0.10811339311559819</v>
      </c>
      <c r="S30" s="17">
        <f t="shared" si="9"/>
        <v>0.10653051539920277</v>
      </c>
      <c r="T30" s="17">
        <f t="shared" si="9"/>
        <v>0.10512685087973975</v>
      </c>
      <c r="U30" s="17">
        <f t="shared" si="9"/>
        <v>0.10387861334509806</v>
      </c>
      <c r="V30" s="17">
        <f t="shared" si="10"/>
        <v>0.10276582112891441</v>
      </c>
      <c r="W30" s="17">
        <f t="shared" si="10"/>
        <v>0.10177156973506239</v>
      </c>
      <c r="X30" s="17">
        <f t="shared" si="10"/>
        <v>0.10088146585184674</v>
      </c>
      <c r="Y30" s="17">
        <f t="shared" si="10"/>
        <v>0.10008318239596203</v>
      </c>
      <c r="Z30" s="17">
        <f t="shared" si="10"/>
        <v>9.9366105363422774E-2</v>
      </c>
      <c r="AA30" s="17">
        <f t="shared" si="10"/>
        <v>9.8721051060513071E-2</v>
      </c>
      <c r="AB30" s="17">
        <f t="shared" si="10"/>
        <v>9.8140037820143189E-2</v>
      </c>
      <c r="AC30" s="17">
        <f t="shared" si="10"/>
        <v>9.7616100285160115E-2</v>
      </c>
      <c r="AD30" s="17">
        <f t="shared" si="10"/>
        <v>9.7143137231686952E-2</v>
      </c>
      <c r="AE30" s="17">
        <f t="shared" si="10"/>
        <v>9.6715786031464412E-2</v>
      </c>
      <c r="AF30" s="17">
        <f t="shared" si="11"/>
        <v>9.6329318431177091E-2</v>
      </c>
      <c r="AG30" s="17">
        <f t="shared" si="11"/>
        <v>9.5979553510784715E-2</v>
      </c>
      <c r="AH30" s="17">
        <f t="shared" si="11"/>
        <v>9.5662784578693816E-2</v>
      </c>
      <c r="AI30" s="17">
        <f t="shared" si="11"/>
        <v>9.5375717445053895E-2</v>
      </c>
      <c r="AJ30" s="17">
        <f t="shared" si="11"/>
        <v>9.5115418040004535E-2</v>
      </c>
      <c r="AK30" s="17">
        <f t="shared" si="11"/>
        <v>9.487926775082782E-2</v>
      </c>
    </row>
    <row r="31" spans="1:37">
      <c r="A31" s="13">
        <v>9.4999999999999904E-2</v>
      </c>
      <c r="B31" s="17">
        <f t="shared" si="8"/>
        <v>0.25202233571658605</v>
      </c>
      <c r="C31" s="17">
        <f t="shared" si="8"/>
        <v>0.21929628975943111</v>
      </c>
      <c r="D31" s="17">
        <f t="shared" si="8"/>
        <v>0.19612778017558097</v>
      </c>
      <c r="E31" s="17">
        <f t="shared" si="8"/>
        <v>0.17893064805335884</v>
      </c>
      <c r="F31" s="17">
        <f t="shared" si="8"/>
        <v>0.16571232939499819</v>
      </c>
      <c r="G31" s="17">
        <f t="shared" si="8"/>
        <v>0.15527706907293237</v>
      </c>
      <c r="H31" s="17">
        <f t="shared" si="8"/>
        <v>0.14686374635122934</v>
      </c>
      <c r="I31" s="17">
        <f t="shared" si="8"/>
        <v>0.13996478844099225</v>
      </c>
      <c r="J31" s="17">
        <f t="shared" si="8"/>
        <v>0.13422866303390205</v>
      </c>
      <c r="K31" s="17">
        <f t="shared" si="8"/>
        <v>0.12940416021540249</v>
      </c>
      <c r="L31" s="17">
        <f t="shared" si="9"/>
        <v>0.12530696194365429</v>
      </c>
      <c r="M31" s="17">
        <f t="shared" si="9"/>
        <v>0.12179874818770153</v>
      </c>
      <c r="N31" s="17">
        <f t="shared" si="9"/>
        <v>0.11877367748192519</v>
      </c>
      <c r="O31" s="17">
        <f t="shared" si="9"/>
        <v>0.11614937398686556</v>
      </c>
      <c r="P31" s="17">
        <f t="shared" si="9"/>
        <v>0.11386076069119276</v>
      </c>
      <c r="Q31" s="17">
        <f t="shared" si="9"/>
        <v>0.11185574254002209</v>
      </c>
      <c r="R31" s="17">
        <f t="shared" si="9"/>
        <v>0.11009212278996094</v>
      </c>
      <c r="S31" s="17">
        <f t="shared" si="9"/>
        <v>0.10853536015075668</v>
      </c>
      <c r="T31" s="17">
        <f t="shared" si="9"/>
        <v>0.10715691077954718</v>
      </c>
      <c r="U31" s="17">
        <f t="shared" si="9"/>
        <v>0.10593298451027897</v>
      </c>
      <c r="V31" s="17">
        <f t="shared" si="10"/>
        <v>0.10484359930356886</v>
      </c>
      <c r="W31" s="17">
        <f t="shared" si="10"/>
        <v>0.10387185360407247</v>
      </c>
      <c r="X31" s="17">
        <f t="shared" si="10"/>
        <v>0.10300336009353958</v>
      </c>
      <c r="Y31" s="17">
        <f t="shared" si="10"/>
        <v>0.10222580047835278</v>
      </c>
      <c r="Z31" s="17">
        <f t="shared" si="10"/>
        <v>0.10152857208850592</v>
      </c>
      <c r="AA31" s="17">
        <f t="shared" si="10"/>
        <v>0.10090250486144969</v>
      </c>
      <c r="AB31" s="17">
        <f t="shared" si="10"/>
        <v>0.10033963281694583</v>
      </c>
      <c r="AC31" s="17">
        <f t="shared" si="10"/>
        <v>9.9833008105422574E-2</v>
      </c>
      <c r="AD31" s="17">
        <f t="shared" si="10"/>
        <v>9.9376548603920561E-2</v>
      </c>
      <c r="AE31" s="17">
        <f t="shared" si="10"/>
        <v>9.8964912159597199E-2</v>
      </c>
      <c r="AF31" s="17">
        <f t="shared" si="11"/>
        <v>9.8593392159693566E-2</v>
      </c>
      <c r="AG31" s="17">
        <f t="shared" si="11"/>
        <v>9.8257830290789494E-2</v>
      </c>
      <c r="AH31" s="17">
        <f t="shared" si="11"/>
        <v>9.7954543245853287E-2</v>
      </c>
      <c r="AI31" s="17">
        <f t="shared" si="11"/>
        <v>9.7680260820892359E-2</v>
      </c>
      <c r="AJ31" s="17">
        <f t="shared" si="11"/>
        <v>9.7432073368405314E-2</v>
      </c>
      <c r="AK31" s="17">
        <f t="shared" si="11"/>
        <v>9.7207386981812943E-2</v>
      </c>
    </row>
    <row r="32" spans="1:37">
      <c r="A32" s="13">
        <v>9.7499999999999906E-2</v>
      </c>
      <c r="B32" s="17">
        <f t="shared" si="8"/>
        <v>0.2534909238860053</v>
      </c>
      <c r="C32" s="17">
        <f t="shared" si="8"/>
        <v>0.22080018753594893</v>
      </c>
      <c r="D32" s="17">
        <f t="shared" si="8"/>
        <v>0.19766755484177145</v>
      </c>
      <c r="E32" s="17">
        <f t="shared" si="8"/>
        <v>0.18050643239537167</v>
      </c>
      <c r="F32" s="17">
        <f t="shared" si="8"/>
        <v>0.16732398962920783</v>
      </c>
      <c r="G32" s="17">
        <f t="shared" si="8"/>
        <v>0.15692429064244523</v>
      </c>
      <c r="H32" s="17">
        <f t="shared" si="8"/>
        <v>0.14854608252690776</v>
      </c>
      <c r="I32" s="17">
        <f t="shared" si="8"/>
        <v>0.14168169042455589</v>
      </c>
      <c r="J32" s="17">
        <f t="shared" si="8"/>
        <v>0.13597950016881563</v>
      </c>
      <c r="K32" s="17">
        <f t="shared" si="8"/>
        <v>0.13118823458604381</v>
      </c>
      <c r="L32" s="17">
        <f t="shared" si="9"/>
        <v>0.1271235196251306</v>
      </c>
      <c r="M32" s="17">
        <f t="shared" si="9"/>
        <v>0.12364698840027727</v>
      </c>
      <c r="N32" s="17">
        <f t="shared" si="9"/>
        <v>0.12065276037110215</v>
      </c>
      <c r="O32" s="17">
        <f t="shared" si="9"/>
        <v>0.11805842745523498</v>
      </c>
      <c r="P32" s="17">
        <f t="shared" si="9"/>
        <v>0.11579888653872111</v>
      </c>
      <c r="Q32" s="17">
        <f t="shared" si="9"/>
        <v>0.11382202206913392</v>
      </c>
      <c r="R32" s="17">
        <f t="shared" si="9"/>
        <v>0.11208562197110203</v>
      </c>
      <c r="S32" s="17">
        <f t="shared" si="9"/>
        <v>0.1105551344069107</v>
      </c>
      <c r="T32" s="17">
        <f t="shared" si="9"/>
        <v>0.10920200942527433</v>
      </c>
      <c r="U32" s="17">
        <f t="shared" si="9"/>
        <v>0.10800245486686794</v>
      </c>
      <c r="V32" s="17">
        <f t="shared" si="10"/>
        <v>0.10693649050359237</v>
      </c>
      <c r="W32" s="17">
        <f t="shared" si="10"/>
        <v>0.10598722009398381</v>
      </c>
      <c r="X32" s="17">
        <f t="shared" si="10"/>
        <v>0.10514026484065284</v>
      </c>
      <c r="Y32" s="17">
        <f t="shared" si="10"/>
        <v>0.10438331788776828</v>
      </c>
      <c r="Z32" s="17">
        <f t="shared" si="10"/>
        <v>0.10370579063570912</v>
      </c>
      <c r="AA32" s="17">
        <f t="shared" si="10"/>
        <v>0.10309852944705</v>
      </c>
      <c r="AB32" s="17">
        <f t="shared" si="10"/>
        <v>0.10255358685106769</v>
      </c>
      <c r="AC32" s="17">
        <f t="shared" si="10"/>
        <v>0.1020640353304359</v>
      </c>
      <c r="AD32" s="17">
        <f t="shared" si="10"/>
        <v>0.10162381466538056</v>
      </c>
      <c r="AE32" s="17">
        <f t="shared" si="10"/>
        <v>0.10122760593637173</v>
      </c>
      <c r="AF32" s="17">
        <f t="shared" si="11"/>
        <v>0.10087072686523323</v>
      </c>
      <c r="AG32" s="17">
        <f t="shared" si="11"/>
        <v>0.10054904435831509</v>
      </c>
      <c r="AH32" s="17">
        <f t="shared" si="11"/>
        <v>0.10025890101087309</v>
      </c>
      <c r="AI32" s="17">
        <f t="shared" si="11"/>
        <v>9.9997053014919221E-2</v>
      </c>
      <c r="AJ32" s="17">
        <f t="shared" si="11"/>
        <v>9.9760617438017035E-2</v>
      </c>
      <c r="AK32" s="17">
        <f t="shared" si="11"/>
        <v>9.9547027247303355E-2</v>
      </c>
    </row>
    <row r="33" spans="1:37">
      <c r="A33" s="13">
        <v>9.9999999999999895E-2</v>
      </c>
      <c r="B33" s="17">
        <f t="shared" ref="B33:K42" si="12">PMT($A33/12,B$2*12,-1)*12</f>
        <v>0.25496453653521922</v>
      </c>
      <c r="C33" s="17">
        <f t="shared" si="12"/>
        <v>0.22231005330924566</v>
      </c>
      <c r="D33" s="17">
        <f t="shared" si="12"/>
        <v>0.19921420832263087</v>
      </c>
      <c r="E33" s="17">
        <f t="shared" si="12"/>
        <v>0.18208996917365192</v>
      </c>
      <c r="F33" s="17">
        <f t="shared" si="12"/>
        <v>0.16894423460845465</v>
      </c>
      <c r="G33" s="17">
        <f t="shared" si="12"/>
        <v>0.1585808842581139</v>
      </c>
      <c r="H33" s="17">
        <f t="shared" si="12"/>
        <v>0.15023852979995037</v>
      </c>
      <c r="I33" s="17">
        <f t="shared" si="12"/>
        <v>0.14340939153928001</v>
      </c>
      <c r="J33" s="17">
        <f t="shared" si="12"/>
        <v>0.13774177117268122</v>
      </c>
      <c r="K33" s="17">
        <f t="shared" si="12"/>
        <v>0.13298432248423306</v>
      </c>
      <c r="L33" s="17">
        <f t="shared" ref="L33:U42" si="13">PMT($A33/12,L$2*12,-1)*12</f>
        <v>0.12895261412497386</v>
      </c>
      <c r="M33" s="17">
        <f t="shared" si="13"/>
        <v>0.12550823155266241</v>
      </c>
      <c r="N33" s="17">
        <f t="shared" si="13"/>
        <v>0.12254525482360767</v>
      </c>
      <c r="O33" s="17">
        <f t="shared" si="13"/>
        <v>0.11998124373742347</v>
      </c>
      <c r="P33" s="17">
        <f t="shared" si="13"/>
        <v>0.11775106963126419</v>
      </c>
      <c r="Q33" s="17">
        <f t="shared" si="13"/>
        <v>0.11580259740888085</v>
      </c>
      <c r="R33" s="17">
        <f t="shared" si="13"/>
        <v>0.11409360098429523</v>
      </c>
      <c r="S33" s="17">
        <f t="shared" si="13"/>
        <v>0.11258951962632306</v>
      </c>
      <c r="T33" s="17">
        <f t="shared" si="13"/>
        <v>0.11126179922491124</v>
      </c>
      <c r="U33" s="17">
        <f t="shared" si="13"/>
        <v>0.1100866478346457</v>
      </c>
      <c r="V33" s="17">
        <f t="shared" ref="V33:AE42" si="14">PMT($A33/12,V$2*12,-1)*12</f>
        <v>0.10904408946480716</v>
      </c>
      <c r="W33" s="17">
        <f t="shared" si="14"/>
        <v>0.10811723579438368</v>
      </c>
      <c r="X33" s="17">
        <f t="shared" si="14"/>
        <v>0.10729171929621679</v>
      </c>
      <c r="Y33" s="17">
        <f t="shared" si="14"/>
        <v>0.10655524740803049</v>
      </c>
      <c r="Z33" s="17">
        <f t="shared" si="14"/>
        <v>0.10589724852807542</v>
      </c>
      <c r="AA33" s="17">
        <f t="shared" si="14"/>
        <v>0.10530858841065575</v>
      </c>
      <c r="AB33" s="17">
        <f t="shared" si="14"/>
        <v>0.10478134107006018</v>
      </c>
      <c r="AC33" s="17">
        <f t="shared" si="14"/>
        <v>0.10430860227795449</v>
      </c>
      <c r="AD33" s="17">
        <f t="shared" si="14"/>
        <v>0.10388433663083621</v>
      </c>
      <c r="AE33" s="17">
        <f t="shared" si="14"/>
        <v>0.10350325128981414</v>
      </c>
      <c r="AF33" s="17">
        <f t="shared" ref="AF33:AK42" si="15">PMT($A33/12,AF$2*12,-1)*12</f>
        <v>0.10316069107359652</v>
      </c>
      <c r="AG33" s="17">
        <f t="shared" si="15"/>
        <v>0.10285255076911992</v>
      </c>
      <c r="AH33" s="17">
        <f t="shared" si="15"/>
        <v>0.10257520141953044</v>
      </c>
      <c r="AI33" s="17">
        <f t="shared" si="15"/>
        <v>0.10232542803212492</v>
      </c>
      <c r="AJ33" s="17">
        <f t="shared" si="15"/>
        <v>0.10210037667386213</v>
      </c>
      <c r="AK33" s="17">
        <f t="shared" si="15"/>
        <v>0.10189750932866257</v>
      </c>
    </row>
    <row r="34" spans="1:37">
      <c r="A34" s="13">
        <v>0.10249999999999999</v>
      </c>
      <c r="B34" s="17">
        <f t="shared" si="12"/>
        <v>0.25644316601496009</v>
      </c>
      <c r="C34" s="17">
        <f t="shared" si="12"/>
        <v>0.2238258748331933</v>
      </c>
      <c r="D34" s="17">
        <f t="shared" si="12"/>
        <v>0.20076772221919828</v>
      </c>
      <c r="E34" s="17">
        <f t="shared" si="12"/>
        <v>0.18368123211377324</v>
      </c>
      <c r="F34" s="17">
        <f t="shared" si="12"/>
        <v>0.17057302833151966</v>
      </c>
      <c r="G34" s="17">
        <f t="shared" si="12"/>
        <v>0.16024680225213189</v>
      </c>
      <c r="H34" s="17">
        <f t="shared" si="12"/>
        <v>0.15194102684916413</v>
      </c>
      <c r="I34" s="17">
        <f t="shared" si="12"/>
        <v>0.14514781481846048</v>
      </c>
      <c r="J34" s="17">
        <f t="shared" si="12"/>
        <v>0.13951538147673936</v>
      </c>
      <c r="K34" s="17">
        <f t="shared" si="12"/>
        <v>0.13479230985739832</v>
      </c>
      <c r="L34" s="17">
        <f t="shared" si="13"/>
        <v>0.1307941101365015</v>
      </c>
      <c r="M34" s="17">
        <f t="shared" si="13"/>
        <v>0.1273823194586321</v>
      </c>
      <c r="N34" s="17">
        <f t="shared" si="13"/>
        <v>0.12445097832264665</v>
      </c>
      <c r="O34" s="17">
        <f t="shared" si="13"/>
        <v>0.12191761473463963</v>
      </c>
      <c r="P34" s="17">
        <f t="shared" si="13"/>
        <v>0.11971707525673642</v>
      </c>
      <c r="Q34" s="17">
        <f t="shared" si="13"/>
        <v>0.1177972064383733</v>
      </c>
      <c r="R34" s="17">
        <f t="shared" si="13"/>
        <v>0.11611576975086046</v>
      </c>
      <c r="S34" s="17">
        <f t="shared" si="13"/>
        <v>0.11463819747593558</v>
      </c>
      <c r="T34" s="17">
        <f t="shared" si="13"/>
        <v>0.11333593354802575</v>
      </c>
      <c r="U34" s="17">
        <f t="shared" si="13"/>
        <v>0.11218518869318836</v>
      </c>
      <c r="V34" s="17">
        <f t="shared" si="14"/>
        <v>0.11116599382729568</v>
      </c>
      <c r="W34" s="17">
        <f t="shared" si="14"/>
        <v>0.11026147138858519</v>
      </c>
      <c r="X34" s="17">
        <f t="shared" si="14"/>
        <v>0.10945726808767826</v>
      </c>
      <c r="Y34" s="17">
        <f t="shared" si="14"/>
        <v>0.10874110871309524</v>
      </c>
      <c r="Z34" s="17">
        <f t="shared" si="14"/>
        <v>0.1081024417710649</v>
      </c>
      <c r="AA34" s="17">
        <f t="shared" si="14"/>
        <v>0.10753215553636014</v>
      </c>
      <c r="AB34" s="17">
        <f t="shared" si="14"/>
        <v>0.10702234862429143</v>
      </c>
      <c r="AC34" s="17">
        <f t="shared" si="14"/>
        <v>0.10656614317049566</v>
      </c>
      <c r="AD34" s="17">
        <f t="shared" si="14"/>
        <v>0.10615753159656047</v>
      </c>
      <c r="AE34" s="17">
        <f t="shared" si="14"/>
        <v>0.10579125006497508</v>
      </c>
      <c r="AF34" s="17">
        <f t="shared" si="15"/>
        <v>0.10546267330527004</v>
      </c>
      <c r="AG34" s="17">
        <f t="shared" si="15"/>
        <v>0.10516772667648902</v>
      </c>
      <c r="AH34" s="17">
        <f t="shared" si="15"/>
        <v>0.1049028122261481</v>
      </c>
      <c r="AI34" s="17">
        <f t="shared" si="15"/>
        <v>0.10466474618847516</v>
      </c>
      <c r="AJ34" s="17">
        <f t="shared" si="15"/>
        <v>0.10445070588948549</v>
      </c>
      <c r="AK34" s="17">
        <f t="shared" si="15"/>
        <v>0.1042581844328425</v>
      </c>
    </row>
    <row r="35" spans="1:37">
      <c r="A35" s="13">
        <v>0.105</v>
      </c>
      <c r="B35" s="17">
        <f t="shared" si="12"/>
        <v>0.25792680453740952</v>
      </c>
      <c r="C35" s="17">
        <f t="shared" si="12"/>
        <v>0.22534763963159338</v>
      </c>
      <c r="D35" s="17">
        <f t="shared" si="12"/>
        <v>0.20232807778462364</v>
      </c>
      <c r="E35" s="17">
        <f t="shared" si="12"/>
        <v>0.18528019445141483</v>
      </c>
      <c r="F35" s="17">
        <f t="shared" si="12"/>
        <v>0.17221033414561282</v>
      </c>
      <c r="G35" s="17">
        <f t="shared" si="12"/>
        <v>0.16192199613065639</v>
      </c>
      <c r="H35" s="17">
        <f t="shared" si="12"/>
        <v>0.15365351134917454</v>
      </c>
      <c r="I35" s="17">
        <f t="shared" si="12"/>
        <v>0.14689688212047919</v>
      </c>
      <c r="J35" s="17">
        <f t="shared" si="12"/>
        <v>0.14130023518674259</v>
      </c>
      <c r="K35" s="17">
        <f t="shared" si="12"/>
        <v>0.13661208121106228</v>
      </c>
      <c r="L35" s="17">
        <f t="shared" si="13"/>
        <v>0.13264787084366039</v>
      </c>
      <c r="M35" s="17">
        <f t="shared" si="13"/>
        <v>0.12926909241918308</v>
      </c>
      <c r="N35" s="17">
        <f t="shared" si="13"/>
        <v>0.1263697469142131</v>
      </c>
      <c r="O35" s="17">
        <f t="shared" si="13"/>
        <v>0.12386733107966383</v>
      </c>
      <c r="P35" s="17">
        <f t="shared" si="13"/>
        <v>0.12169666770972004</v>
      </c>
      <c r="Q35" s="17">
        <f t="shared" si="13"/>
        <v>0.1198055864363394</v>
      </c>
      <c r="R35" s="17">
        <f t="shared" si="13"/>
        <v>0.11815183811215949</v>
      </c>
      <c r="S35" s="17">
        <f t="shared" si="13"/>
        <v>0.116700850198037</v>
      </c>
      <c r="T35" s="17">
        <f t="shared" si="13"/>
        <v>0.11542406713469533</v>
      </c>
      <c r="U35" s="17">
        <f t="shared" si="13"/>
        <v>0.11429770503000813</v>
      </c>
      <c r="V35" s="17">
        <f t="shared" si="14"/>
        <v>0.11330180461854172</v>
      </c>
      <c r="W35" s="17">
        <f t="shared" si="14"/>
        <v>0.11241950216596697</v>
      </c>
      <c r="X35" s="17">
        <f t="shared" si="14"/>
        <v>0.11163646180104342</v>
      </c>
      <c r="Y35" s="17">
        <f t="shared" si="14"/>
        <v>0.11094042891405335</v>
      </c>
      <c r="Z35" s="17">
        <f t="shared" si="14"/>
        <v>0.11032087540200657</v>
      </c>
      <c r="AA35" s="17">
        <f t="shared" si="14"/>
        <v>0.10976871533916854</v>
      </c>
      <c r="AB35" s="17">
        <f t="shared" si="14"/>
        <v>0.10927607518490204</v>
      </c>
      <c r="AC35" s="17">
        <f t="shared" si="14"/>
        <v>0.10883610661719684</v>
      </c>
      <c r="AD35" s="17">
        <f t="shared" si="14"/>
        <v>0.10844283297143414</v>
      </c>
      <c r="AE35" s="17">
        <f t="shared" si="14"/>
        <v>0.10809102238909696</v>
      </c>
      <c r="AF35" s="17">
        <f t="shared" si="15"/>
        <v>0.10777608235918985</v>
      </c>
      <c r="AG35" s="17">
        <f t="shared" si="15"/>
        <v>0.10749397151809061</v>
      </c>
      <c r="AH35" s="17">
        <f t="shared" si="15"/>
        <v>0.10724112546825333</v>
      </c>
      <c r="AI35" s="17">
        <f t="shared" si="15"/>
        <v>0.10701439405852811</v>
      </c>
      <c r="AJ35" s="17">
        <f t="shared" si="15"/>
        <v>0.10681098809335839</v>
      </c>
      <c r="AK35" s="17">
        <f t="shared" si="15"/>
        <v>0.10662843384427864</v>
      </c>
    </row>
    <row r="36" spans="1:37">
      <c r="A36" s="13">
        <v>0.1075</v>
      </c>
      <c r="B36" s="17">
        <f t="shared" si="12"/>
        <v>0.25941544417708229</v>
      </c>
      <c r="C36" s="17">
        <f t="shared" si="12"/>
        <v>0.22687533500015</v>
      </c>
      <c r="D36" s="17">
        <f t="shared" si="12"/>
        <v>0.20389525592808921</v>
      </c>
      <c r="E36" s="17">
        <f t="shared" si="12"/>
        <v>0.18688682893948011</v>
      </c>
      <c r="F36" s="17">
        <f t="shared" si="12"/>
        <v>0.17385611475838292</v>
      </c>
      <c r="G36" s="17">
        <f t="shared" si="12"/>
        <v>0.16360641659288491</v>
      </c>
      <c r="H36" s="17">
        <f t="shared" si="12"/>
        <v>0.15537591999923162</v>
      </c>
      <c r="I36" s="17">
        <f t="shared" si="12"/>
        <v>0.14865651417045836</v>
      </c>
      <c r="J36" s="17">
        <f t="shared" si="12"/>
        <v>0.14309623514096664</v>
      </c>
      <c r="K36" s="17">
        <f t="shared" si="12"/>
        <v>0.13844351968700289</v>
      </c>
      <c r="L36" s="17">
        <f t="shared" si="13"/>
        <v>0.13451375802327237</v>
      </c>
      <c r="M36" s="17">
        <f t="shared" si="13"/>
        <v>0.13116838935277292</v>
      </c>
      <c r="N36" s="17">
        <f t="shared" si="13"/>
        <v>0.12830137536900976</v>
      </c>
      <c r="O36" s="17">
        <f t="shared" si="13"/>
        <v>0.12583018233370322</v>
      </c>
      <c r="P36" s="17">
        <f t="shared" si="13"/>
        <v>0.12368961052586527</v>
      </c>
      <c r="Q36" s="17">
        <f t="shared" si="13"/>
        <v>0.12182747435482177</v>
      </c>
      <c r="R36" s="17">
        <f t="shared" si="13"/>
        <v>0.12020151614328556</v>
      </c>
      <c r="S36" s="17">
        <f t="shared" si="13"/>
        <v>0.11877716096341442</v>
      </c>
      <c r="T36" s="17">
        <f t="shared" si="13"/>
        <v>0.11752585648621652</v>
      </c>
      <c r="U36" s="17">
        <f t="shared" si="13"/>
        <v>0.11642382716544017</v>
      </c>
      <c r="V36" s="17">
        <f t="shared" si="14"/>
        <v>0.11545112670757485</v>
      </c>
      <c r="W36" s="17">
        <f t="shared" si="14"/>
        <v>0.11459090849889661</v>
      </c>
      <c r="X36" s="17">
        <f t="shared" si="14"/>
        <v>0.11382885747257253</v>
      </c>
      <c r="Y36" s="17">
        <f t="shared" si="14"/>
        <v>0.1131527430561306</v>
      </c>
      <c r="Z36" s="17">
        <f t="shared" si="14"/>
        <v>0.11255206398159634</v>
      </c>
      <c r="AA36" s="17">
        <f t="shared" si="14"/>
        <v>0.11201776353899751</v>
      </c>
      <c r="AB36" s="17">
        <f t="shared" si="14"/>
        <v>0.11154199938730398</v>
      </c>
      <c r="AC36" s="17">
        <f t="shared" si="14"/>
        <v>0.11111795601302051</v>
      </c>
      <c r="AD36" s="17">
        <f t="shared" si="14"/>
        <v>0.11073969081750074</v>
      </c>
      <c r="AE36" s="17">
        <f t="shared" si="14"/>
        <v>0.1104020069388439</v>
      </c>
      <c r="AF36" s="17">
        <f t="shared" si="15"/>
        <v>0.11010034749190079</v>
      </c>
      <c r="AG36" s="17">
        <f t="shared" si="15"/>
        <v>0.10983070709249373</v>
      </c>
      <c r="AH36" s="17">
        <f t="shared" si="15"/>
        <v>0.10958955742629614</v>
      </c>
      <c r="AI36" s="17">
        <f t="shared" si="15"/>
        <v>0.10937378430483449</v>
      </c>
      <c r="AJ36" s="17">
        <f t="shared" si="15"/>
        <v>0.10918063417528641</v>
      </c>
      <c r="AK36" s="17">
        <f t="shared" si="15"/>
        <v>0.10900766845666285</v>
      </c>
    </row>
    <row r="37" spans="1:37">
      <c r="A37" s="13">
        <v>0.11</v>
      </c>
      <c r="B37" s="17">
        <f t="shared" si="12"/>
        <v>0.26090907687171971</v>
      </c>
      <c r="C37" s="17">
        <f t="shared" si="12"/>
        <v>0.22840894800846961</v>
      </c>
      <c r="D37" s="17">
        <f t="shared" si="12"/>
        <v>0.20546923721878507</v>
      </c>
      <c r="E37" s="17">
        <f t="shared" si="12"/>
        <v>0.18850110785530511</v>
      </c>
      <c r="F37" s="17">
        <f t="shared" si="12"/>
        <v>0.17551033225006027</v>
      </c>
      <c r="G37" s="17">
        <f t="shared" si="12"/>
        <v>0.16530001355030699</v>
      </c>
      <c r="H37" s="17">
        <f t="shared" si="12"/>
        <v>0.15710818855221464</v>
      </c>
      <c r="I37" s="17">
        <f t="shared" si="12"/>
        <v>0.1504266306020946</v>
      </c>
      <c r="J37" s="17">
        <f t="shared" si="12"/>
        <v>0.14490328296830315</v>
      </c>
      <c r="K37" s="17">
        <f t="shared" si="12"/>
        <v>0.14028650714127097</v>
      </c>
      <c r="L37" s="17">
        <f t="shared" si="13"/>
        <v>0.13639163214673067</v>
      </c>
      <c r="M37" s="17">
        <f t="shared" si="13"/>
        <v>0.13308004792435643</v>
      </c>
      <c r="N37" s="17">
        <f t="shared" si="13"/>
        <v>0.13024567734219239</v>
      </c>
      <c r="O37" s="17">
        <f t="shared" si="13"/>
        <v>0.12780595717970539</v>
      </c>
      <c r="P37" s="17">
        <f t="shared" si="13"/>
        <v>0.12569566671091431</v>
      </c>
      <c r="Q37" s="17">
        <f t="shared" si="13"/>
        <v>0.12386260708512681</v>
      </c>
      <c r="R37" s="17">
        <f t="shared" si="13"/>
        <v>0.12226451445604021</v>
      </c>
      <c r="S37" s="17">
        <f t="shared" si="13"/>
        <v>0.12086681421018548</v>
      </c>
      <c r="T37" s="17">
        <f t="shared" si="13"/>
        <v>0.1196409602372254</v>
      </c>
      <c r="U37" s="17">
        <f t="shared" si="13"/>
        <v>0.11856318855400487</v>
      </c>
      <c r="V37" s="17">
        <f t="shared" si="14"/>
        <v>0.1176135692300099</v>
      </c>
      <c r="W37" s="17">
        <f t="shared" si="14"/>
        <v>0.11677527628437637</v>
      </c>
      <c r="X37" s="17">
        <f t="shared" si="14"/>
        <v>0.11603401903850757</v>
      </c>
      <c r="Y37" s="17">
        <f t="shared" si="14"/>
        <v>0.11537759456662272</v>
      </c>
      <c r="Z37" s="17">
        <f t="shared" si="14"/>
        <v>0.11479553202895212</v>
      </c>
      <c r="AA37" s="17">
        <f t="shared" si="14"/>
        <v>0.11427880747072797</v>
      </c>
      <c r="AB37" s="17">
        <f t="shared" si="14"/>
        <v>0.11381961320327852</v>
      </c>
      <c r="AC37" s="17">
        <f t="shared" si="14"/>
        <v>0.1134111698593388</v>
      </c>
      <c r="AD37" s="17">
        <f t="shared" si="14"/>
        <v>0.11304757210511499</v>
      </c>
      <c r="AE37" s="17">
        <f t="shared" si="14"/>
        <v>0.11272366111597434</v>
      </c>
      <c r="AF37" s="17">
        <f t="shared" si="15"/>
        <v>0.11243491849984197</v>
      </c>
      <c r="AG37" s="17">
        <f t="shared" si="15"/>
        <v>0.112177377534526</v>
      </c>
      <c r="AH37" s="17">
        <f t="shared" si="15"/>
        <v>0.11194754847913421</v>
      </c>
      <c r="AI37" s="17">
        <f t="shared" si="15"/>
        <v>0.11174235540141014</v>
      </c>
      <c r="AJ37" s="17">
        <f t="shared" si="15"/>
        <v>0.11155908248672163</v>
      </c>
      <c r="AK37" s="17">
        <f t="shared" si="15"/>
        <v>0.11139532820010031</v>
      </c>
    </row>
    <row r="38" spans="1:37">
      <c r="A38" s="13">
        <v>0.1125</v>
      </c>
      <c r="B38" s="17">
        <f t="shared" si="12"/>
        <v>0.26240769442319761</v>
      </c>
      <c r="C38" s="17">
        <f t="shared" si="12"/>
        <v>0.22994846550208864</v>
      </c>
      <c r="D38" s="17">
        <f t="shared" si="12"/>
        <v>0.2070500018899363</v>
      </c>
      <c r="E38" s="17">
        <f t="shared" si="12"/>
        <v>0.19012300300795321</v>
      </c>
      <c r="F38" s="17">
        <f t="shared" si="12"/>
        <v>0.17717294808572584</v>
      </c>
      <c r="G38" s="17">
        <f t="shared" si="12"/>
        <v>0.16700273614611721</v>
      </c>
      <c r="H38" s="17">
        <f t="shared" si="12"/>
        <v>0.15885025184381257</v>
      </c>
      <c r="I38" s="17">
        <f t="shared" si="12"/>
        <v>0.15220714999963381</v>
      </c>
      <c r="J38" s="17">
        <f t="shared" si="12"/>
        <v>0.14672127914637267</v>
      </c>
      <c r="K38" s="17">
        <f t="shared" si="12"/>
        <v>0.14214092422197627</v>
      </c>
      <c r="L38" s="17">
        <f t="shared" si="13"/>
        <v>0.13828135248102311</v>
      </c>
      <c r="M38" s="17">
        <f t="shared" si="13"/>
        <v>0.13500390467305329</v>
      </c>
      <c r="N38" s="17">
        <f t="shared" si="13"/>
        <v>0.13220246553072498</v>
      </c>
      <c r="O38" s="17">
        <f t="shared" si="13"/>
        <v>0.12979444361186854</v>
      </c>
      <c r="P38" s="17">
        <f t="shared" si="13"/>
        <v>0.12771459896404341</v>
      </c>
      <c r="Q38" s="17">
        <f t="shared" si="13"/>
        <v>0.12591072171568835</v>
      </c>
      <c r="R38" s="17">
        <f t="shared" si="13"/>
        <v>0.12434054449084461</v>
      </c>
      <c r="S38" s="17">
        <f t="shared" si="13"/>
        <v>0.122969495967979</v>
      </c>
      <c r="T38" s="17">
        <f t="shared" si="13"/>
        <v>0.12176903950895857</v>
      </c>
      <c r="U38" s="17">
        <f t="shared" si="13"/>
        <v>0.12071542616209127</v>
      </c>
      <c r="V38" s="17">
        <f t="shared" si="14"/>
        <v>0.11978874598401597</v>
      </c>
      <c r="W38" s="17">
        <f t="shared" si="14"/>
        <v>0.11897219735071532</v>
      </c>
      <c r="X38" s="17">
        <f t="shared" si="14"/>
        <v>0.1182515177435052</v>
      </c>
      <c r="Y38" s="17">
        <f t="shared" si="14"/>
        <v>0.11761453565491001</v>
      </c>
      <c r="Z38" s="17">
        <f t="shared" si="14"/>
        <v>0.11705081440196084</v>
      </c>
      <c r="AA38" s="17">
        <f t="shared" si="14"/>
        <v>0.11655136643275826</v>
      </c>
      <c r="AB38" s="17">
        <f t="shared" si="14"/>
        <v>0.11610842224495345</v>
      </c>
      <c r="AC38" s="17">
        <f t="shared" si="14"/>
        <v>0.11571524201013458</v>
      </c>
      <c r="AD38" s="17">
        <f t="shared" si="14"/>
        <v>0.11536596088799403</v>
      </c>
      <c r="AE38" s="17">
        <f t="shared" si="14"/>
        <v>0.11505546113794272</v>
      </c>
      <c r="AF38" s="17">
        <f t="shared" si="15"/>
        <v>0.11477926571251651</v>
      </c>
      <c r="AG38" s="17">
        <f t="shared" si="15"/>
        <v>0.11453344919857297</v>
      </c>
      <c r="AH38" s="17">
        <f t="shared" si="15"/>
        <v>0.11431456286578195</v>
      </c>
      <c r="AI38" s="17">
        <f t="shared" si="15"/>
        <v>0.1141195712632008</v>
      </c>
      <c r="AJ38" s="17">
        <f t="shared" si="15"/>
        <v>0.11394579832832147</v>
      </c>
      <c r="AK38" s="17">
        <f t="shared" si="15"/>
        <v>0.11379088137838753</v>
      </c>
    </row>
    <row r="39" spans="1:37">
      <c r="A39" s="13">
        <v>0.115</v>
      </c>
      <c r="B39" s="17">
        <f t="shared" si="12"/>
        <v>0.26391128849844481</v>
      </c>
      <c r="C39" s="17">
        <f t="shared" si="12"/>
        <v>0.23149387410452835</v>
      </c>
      <c r="D39" s="17">
        <f t="shared" si="12"/>
        <v>0.20863752984288159</v>
      </c>
      <c r="E39" s="17">
        <f t="shared" si="12"/>
        <v>0.19175248574559312</v>
      </c>
      <c r="F39" s="17">
        <f t="shared" si="12"/>
        <v>0.17884392312769914</v>
      </c>
      <c r="G39" s="17">
        <f t="shared" si="12"/>
        <v>0.16871453277477638</v>
      </c>
      <c r="H39" s="17">
        <f t="shared" si="12"/>
        <v>0.16060204382185572</v>
      </c>
      <c r="I39" s="17">
        <f t="shared" si="12"/>
        <v>0.15399798993994726</v>
      </c>
      <c r="J39" s="17">
        <f t="shared" si="12"/>
        <v>0.14855012305959858</v>
      </c>
      <c r="K39" s="17">
        <f t="shared" si="12"/>
        <v>0.1440066504467537</v>
      </c>
      <c r="L39" s="17">
        <f t="shared" si="13"/>
        <v>0.1401827771889598</v>
      </c>
      <c r="M39" s="17">
        <f t="shared" si="13"/>
        <v>0.13693979513828422</v>
      </c>
      <c r="N39" s="17">
        <f t="shared" si="13"/>
        <v>0.13417155182814269</v>
      </c>
      <c r="O39" s="17">
        <f t="shared" si="13"/>
        <v>0.13179542912110248</v>
      </c>
      <c r="P39" s="17">
        <f t="shared" si="13"/>
        <v>0.12974616989524221</v>
      </c>
      <c r="Q39" s="17">
        <f t="shared" si="13"/>
        <v>0.12797155578154307</v>
      </c>
      <c r="R39" s="17">
        <f t="shared" si="13"/>
        <v>0.12642931879728594</v>
      </c>
      <c r="S39" s="17">
        <f t="shared" si="13"/>
        <v>0.12508489416719801</v>
      </c>
      <c r="T39" s="17">
        <f t="shared" si="13"/>
        <v>0.12390975824346825</v>
      </c>
      <c r="U39" s="17">
        <f t="shared" si="13"/>
        <v>0.12288018082191497</v>
      </c>
      <c r="V39" s="17">
        <f t="shared" si="14"/>
        <v>0.12197627579737574</v>
      </c>
      <c r="W39" s="17">
        <f t="shared" si="14"/>
        <v>0.12118126982968172</v>
      </c>
      <c r="X39" s="17">
        <f t="shared" si="14"/>
        <v>0.12048093250861271</v>
      </c>
      <c r="Y39" s="17">
        <f t="shared" si="14"/>
        <v>0.11986312766587839</v>
      </c>
      <c r="Z39" s="17">
        <f t="shared" si="14"/>
        <v>0.11931745662483964</v>
      </c>
      <c r="AA39" s="17">
        <f t="shared" si="14"/>
        <v>0.11883497197668799</v>
      </c>
      <c r="AB39" s="17">
        <f t="shared" si="14"/>
        <v>0.11840794600411106</v>
      </c>
      <c r="AC39" s="17">
        <f t="shared" si="14"/>
        <v>0.11802968184819691</v>
      </c>
      <c r="AD39" s="17">
        <f t="shared" si="14"/>
        <v>0.11769435840357528</v>
      </c>
      <c r="AE39" s="17">
        <f t="shared" si="14"/>
        <v>0.11739690204994815</v>
      </c>
      <c r="AF39" s="17">
        <f t="shared" si="15"/>
        <v>0.11713287990424454</v>
      </c>
      <c r="AG39" s="17">
        <f t="shared" si="15"/>
        <v>0.11689841045875227</v>
      </c>
      <c r="AH39" s="17">
        <f t="shared" si="15"/>
        <v>0.1166900883636165</v>
      </c>
      <c r="AI39" s="17">
        <f t="shared" si="15"/>
        <v>0.11650492079299604</v>
      </c>
      <c r="AJ39" s="17">
        <f t="shared" si="15"/>
        <v>0.11634027335744856</v>
      </c>
      <c r="AK39" s="17">
        <f t="shared" si="15"/>
        <v>0.116193823930291</v>
      </c>
    </row>
    <row r="40" spans="1:37">
      <c r="A40" s="13">
        <v>0.11749999999999999</v>
      </c>
      <c r="B40" s="17">
        <f t="shared" si="12"/>
        <v>0.26541985063037332</v>
      </c>
      <c r="C40" s="17">
        <f t="shared" si="12"/>
        <v>0.23304516021937544</v>
      </c>
      <c r="D40" s="17">
        <f t="shared" si="12"/>
        <v>0.21023180065119995</v>
      </c>
      <c r="E40" s="17">
        <f t="shared" si="12"/>
        <v>0.19338952696295508</v>
      </c>
      <c r="F40" s="17">
        <f t="shared" si="12"/>
        <v>0.18052321764803711</v>
      </c>
      <c r="G40" s="17">
        <f t="shared" si="12"/>
        <v>0.17043535110170616</v>
      </c>
      <c r="H40" s="17">
        <f t="shared" si="12"/>
        <v>0.1623634975757744</v>
      </c>
      <c r="I40" s="17">
        <f t="shared" si="12"/>
        <v>0.15579906703467092</v>
      </c>
      <c r="J40" s="17">
        <f t="shared" si="12"/>
        <v>0.15038971305718213</v>
      </c>
      <c r="K40" s="17">
        <f t="shared" si="12"/>
        <v>0.1458835642798248</v>
      </c>
      <c r="L40" s="17">
        <f t="shared" si="13"/>
        <v>0.14209576342848781</v>
      </c>
      <c r="M40" s="17">
        <f t="shared" si="13"/>
        <v>0.13888755398422367</v>
      </c>
      <c r="N40" s="17">
        <f t="shared" si="13"/>
        <v>0.13615274747653033</v>
      </c>
      <c r="O40" s="17">
        <f t="shared" si="13"/>
        <v>0.13380870087621388</v>
      </c>
      <c r="P40" s="17">
        <f t="shared" si="13"/>
        <v>0.13179014223647662</v>
      </c>
      <c r="Q40" s="17">
        <f t="shared" si="13"/>
        <v>0.13004484750515369</v>
      </c>
      <c r="R40" s="17">
        <f t="shared" si="13"/>
        <v>0.12853055130304819</v>
      </c>
      <c r="S40" s="17">
        <f t="shared" si="13"/>
        <v>0.12721269893316539</v>
      </c>
      <c r="T40" s="17">
        <f t="shared" si="13"/>
        <v>0.12606278351868994</v>
      </c>
      <c r="U40" s="17">
        <f t="shared" si="13"/>
        <v>0.12505709756180444</v>
      </c>
      <c r="V40" s="17">
        <f t="shared" si="14"/>
        <v>0.12417578286591771</v>
      </c>
      <c r="W40" s="17">
        <f t="shared" si="14"/>
        <v>0.12340209849472566</v>
      </c>
      <c r="X40" s="17">
        <f t="shared" si="14"/>
        <v>0.12272185025977746</v>
      </c>
      <c r="Y40" s="17">
        <f t="shared" si="14"/>
        <v>0.12212294138823311</v>
      </c>
      <c r="Z40" s="17">
        <f t="shared" si="14"/>
        <v>0.12159501516499593</v>
      </c>
      <c r="AA40" s="17">
        <f t="shared" si="14"/>
        <v>0.12112916814091694</v>
      </c>
      <c r="AB40" s="17">
        <f t="shared" si="14"/>
        <v>0.12071771803040909</v>
      </c>
      <c r="AC40" s="17">
        <f t="shared" si="14"/>
        <v>0.12035401439578589</v>
      </c>
      <c r="AD40" s="17">
        <f t="shared" si="14"/>
        <v>0.12003228310412853</v>
      </c>
      <c r="AE40" s="17">
        <f t="shared" si="14"/>
        <v>0.11974749766491621</v>
      </c>
      <c r="AF40" s="17">
        <f t="shared" si="15"/>
        <v>0.11949527213207671</v>
      </c>
      <c r="AG40" s="17">
        <f t="shared" si="15"/>
        <v>0.11927177143465657</v>
      </c>
      <c r="AH40" s="17">
        <f t="shared" si="15"/>
        <v>0.1190736358928605</v>
      </c>
      <c r="AI40" s="17">
        <f t="shared" si="15"/>
        <v>0.11889791735671586</v>
      </c>
      <c r="AJ40" s="17">
        <f t="shared" si="15"/>
        <v>0.11874202492759695</v>
      </c>
      <c r="AK40" s="17">
        <f t="shared" si="15"/>
        <v>0.11860367862780113</v>
      </c>
    </row>
    <row r="41" spans="1:37">
      <c r="A41" s="13">
        <v>0.12</v>
      </c>
      <c r="B41" s="17">
        <f t="shared" si="12"/>
        <v>0.2669333722188213</v>
      </c>
      <c r="C41" s="17">
        <f t="shared" si="12"/>
        <v>0.23460231003238852</v>
      </c>
      <c r="D41" s="17">
        <f t="shared" si="12"/>
        <v>0.21183279356488582</v>
      </c>
      <c r="E41" s="17">
        <f t="shared" si="12"/>
        <v>0.1950340971088641</v>
      </c>
      <c r="F41" s="17">
        <f t="shared" si="12"/>
        <v>0.18221079134113763</v>
      </c>
      <c r="G41" s="17">
        <f t="shared" si="12"/>
        <v>0.17216513808310485</v>
      </c>
      <c r="H41" s="17">
        <f t="shared" si="12"/>
        <v>0.16413454536616229</v>
      </c>
      <c r="I41" s="17">
        <f t="shared" si="12"/>
        <v>0.15761029697236945</v>
      </c>
      <c r="J41" s="17">
        <f t="shared" si="12"/>
        <v>0.15223994651092193</v>
      </c>
      <c r="K41" s="17">
        <f t="shared" si="12"/>
        <v>0.14777154320857233</v>
      </c>
      <c r="L41" s="17">
        <f t="shared" si="13"/>
        <v>0.14402016745098162</v>
      </c>
      <c r="M41" s="17">
        <f t="shared" si="13"/>
        <v>0.14084701512242298</v>
      </c>
      <c r="N41" s="17">
        <f t="shared" si="13"/>
        <v>0.13814586321553851</v>
      </c>
      <c r="O41" s="17">
        <f t="shared" si="13"/>
        <v>0.13583404590060866</v>
      </c>
      <c r="P41" s="17">
        <f t="shared" si="13"/>
        <v>0.13384627904640961</v>
      </c>
      <c r="Q41" s="17">
        <f t="shared" si="13"/>
        <v>0.13213033602835317</v>
      </c>
      <c r="R41" s="17">
        <f t="shared" si="13"/>
        <v>0.13064395757102856</v>
      </c>
      <c r="S41" s="17">
        <f t="shared" si="13"/>
        <v>0.12935260286501804</v>
      </c>
      <c r="T41" s="17">
        <f t="shared" si="13"/>
        <v>0.1282277858443415</v>
      </c>
      <c r="U41" s="17">
        <f t="shared" si="13"/>
        <v>0.12724582591296812</v>
      </c>
      <c r="V41" s="17">
        <f t="shared" si="14"/>
        <v>0.12638689706371534</v>
      </c>
      <c r="W41" s="17">
        <f t="shared" si="14"/>
        <v>0.12563429506598875</v>
      </c>
      <c r="X41" s="17">
        <f t="shared" si="14"/>
        <v>0.12497386621801379</v>
      </c>
      <c r="Y41" s="17">
        <f t="shared" si="14"/>
        <v>0.12439355731932872</v>
      </c>
      <c r="Z41" s="17">
        <f t="shared" si="14"/>
        <v>0.12388305766140284</v>
      </c>
      <c r="AA41" s="17">
        <f t="shared" si="14"/>
        <v>0.12343351163106053</v>
      </c>
      <c r="AB41" s="17">
        <f t="shared" si="14"/>
        <v>0.1230372860521881</v>
      </c>
      <c r="AC41" s="17">
        <f t="shared" si="14"/>
        <v>0.12268778036428706</v>
      </c>
      <c r="AD41" s="17">
        <f t="shared" si="14"/>
        <v>0.12237927062405682</v>
      </c>
      <c r="AE41" s="17">
        <f t="shared" si="14"/>
        <v>0.12210678043781314</v>
      </c>
      <c r="AF41" s="17">
        <f t="shared" si="15"/>
        <v>0.12186597350725981</v>
      </c>
      <c r="AG41" s="17">
        <f t="shared" si="15"/>
        <v>0.12165306365106235</v>
      </c>
      <c r="AH41" s="17">
        <f t="shared" si="15"/>
        <v>0.121464739056727</v>
      </c>
      <c r="AI41" s="17">
        <f t="shared" si="15"/>
        <v>0.12129809819740919</v>
      </c>
      <c r="AJ41" s="17">
        <f t="shared" si="15"/>
        <v>0.12115059537097275</v>
      </c>
      <c r="AK41" s="17">
        <f t="shared" si="15"/>
        <v>0.12101999422339391</v>
      </c>
    </row>
    <row r="42" spans="1:37">
      <c r="A42" s="13">
        <v>0.1225</v>
      </c>
      <c r="B42" s="17">
        <f t="shared" si="12"/>
        <v>0.26845184453150633</v>
      </c>
      <c r="C42" s="17">
        <f t="shared" si="12"/>
        <v>0.23616530951362985</v>
      </c>
      <c r="D42" s="17">
        <f t="shared" si="12"/>
        <v>0.21344048751456954</v>
      </c>
      <c r="E42" s="17">
        <f t="shared" si="12"/>
        <v>0.19668616619384388</v>
      </c>
      <c r="F42" s="17">
        <f t="shared" si="12"/>
        <v>0.18390660333643927</v>
      </c>
      <c r="G42" s="17">
        <f t="shared" si="12"/>
        <v>0.1739038399858692</v>
      </c>
      <c r="H42" s="17">
        <f t="shared" si="12"/>
        <v>0.16591511865441996</v>
      </c>
      <c r="I42" s="17">
        <f t="shared" si="12"/>
        <v>0.15943159456068803</v>
      </c>
      <c r="J42" s="17">
        <f t="shared" si="12"/>
        <v>0.1541007198728209</v>
      </c>
      <c r="K42" s="17">
        <f t="shared" si="12"/>
        <v>0.14967046381954674</v>
      </c>
      <c r="L42" s="17">
        <f t="shared" si="13"/>
        <v>0.14595584469840009</v>
      </c>
      <c r="M42" s="17">
        <f t="shared" si="13"/>
        <v>0.14281801183246573</v>
      </c>
      <c r="N42" s="17">
        <f t="shared" si="13"/>
        <v>0.14015070942827018</v>
      </c>
      <c r="O42" s="17">
        <f t="shared" si="13"/>
        <v>0.1378712512443207</v>
      </c>
      <c r="P42" s="17">
        <f t="shared" si="13"/>
        <v>0.13591434390847884</v>
      </c>
      <c r="Q42" s="17">
        <f t="shared" si="13"/>
        <v>0.13422776163521943</v>
      </c>
      <c r="R42" s="17">
        <f t="shared" si="13"/>
        <v>0.13276925504448644</v>
      </c>
      <c r="S42" s="17">
        <f t="shared" si="13"/>
        <v>0.13150430129927421</v>
      </c>
      <c r="T42" s="17">
        <f t="shared" si="13"/>
        <v>0.13040443943870511</v>
      </c>
      <c r="U42" s="17">
        <f t="shared" si="13"/>
        <v>0.12944602019298007</v>
      </c>
      <c r="V42" s="17">
        <f t="shared" si="14"/>
        <v>0.12860925422554678</v>
      </c>
      <c r="W42" s="17">
        <f t="shared" si="14"/>
        <v>0.12787747848292563</v>
      </c>
      <c r="X42" s="17">
        <f t="shared" si="14"/>
        <v>0.12723658415246647</v>
      </c>
      <c r="Y42" s="17">
        <f t="shared" si="14"/>
        <v>0.12667456588825368</v>
      </c>
      <c r="Z42" s="17">
        <f t="shared" si="14"/>
        <v>0.12618116310681182</v>
      </c>
      <c r="AA42" s="17">
        <f t="shared" si="14"/>
        <v>0.12574757195016706</v>
      </c>
      <c r="AB42" s="17">
        <f t="shared" si="14"/>
        <v>0.12536621204358789</v>
      </c>
      <c r="AC42" s="17">
        <f t="shared" si="14"/>
        <v>0.12503053614738163</v>
      </c>
      <c r="AD42" s="17">
        <f t="shared" si="14"/>
        <v>0.12473487368876265</v>
      </c>
      <c r="AE42" s="17">
        <f t="shared" si="14"/>
        <v>0.12447430128055095</v>
      </c>
      <c r="AF42" s="17">
        <f t="shared" si="15"/>
        <v>0.12424453490741171</v>
      </c>
      <c r="AG42" s="17">
        <f t="shared" si="15"/>
        <v>0.12404183963964921</v>
      </c>
      <c r="AH42" s="17">
        <f t="shared" si="15"/>
        <v>0.12386295362613138</v>
      </c>
      <c r="AI42" s="17">
        <f t="shared" si="15"/>
        <v>0.12370502379767452</v>
      </c>
      <c r="AJ42" s="17">
        <f t="shared" si="15"/>
        <v>0.12356555123467089</v>
      </c>
      <c r="AK42" s="17">
        <f t="shared" si="15"/>
        <v>0.12344234455737368</v>
      </c>
    </row>
    <row r="43" spans="1:37">
      <c r="A43" s="13">
        <v>0.125</v>
      </c>
      <c r="B43" s="17">
        <f t="shared" ref="B43:K52" si="16">PMT($A43/12,B$2*12,-1)*12</f>
        <v>0.26997525870499006</v>
      </c>
      <c r="C43" s="17">
        <f t="shared" si="16"/>
        <v>0.23773414441962074</v>
      </c>
      <c r="D43" s="17">
        <f t="shared" si="16"/>
        <v>0.21505486111578204</v>
      </c>
      <c r="E43" s="17">
        <f t="shared" si="16"/>
        <v>0.19834570379778999</v>
      </c>
      <c r="F43" s="17">
        <f t="shared" si="16"/>
        <v>0.18561061221121075</v>
      </c>
      <c r="G43" s="17">
        <f t="shared" si="16"/>
        <v>0.17565140240760979</v>
      </c>
      <c r="H43" s="17">
        <f t="shared" si="16"/>
        <v>0.16770514813245577</v>
      </c>
      <c r="I43" s="17">
        <f t="shared" si="16"/>
        <v>0.16126287376845516</v>
      </c>
      <c r="J43" s="17">
        <f t="shared" si="16"/>
        <v>0.15597192873242649</v>
      </c>
      <c r="K43" s="17">
        <f t="shared" si="16"/>
        <v>0.15158020187382876</v>
      </c>
      <c r="L43" s="17">
        <f t="shared" ref="L43:U52" si="17">PMT($A43/12,L$2*12,-1)*12</f>
        <v>0.14790264989920771</v>
      </c>
      <c r="M43" s="17">
        <f t="shared" si="17"/>
        <v>0.14480037688052622</v>
      </c>
      <c r="N43" s="17">
        <f t="shared" si="17"/>
        <v>0.14216709628388313</v>
      </c>
      <c r="O43" s="17">
        <f t="shared" si="17"/>
        <v>0.13992010415119696</v>
      </c>
      <c r="P43" s="17">
        <f t="shared" si="17"/>
        <v>0.13799410112215754</v>
      </c>
      <c r="Q43" s="17">
        <f t="shared" si="17"/>
        <v>0.13633686596572434</v>
      </c>
      <c r="R43" s="17">
        <f t="shared" si="17"/>
        <v>0.13490616328011973</v>
      </c>
      <c r="S43" s="17">
        <f t="shared" si="17"/>
        <v>0.1336674925580584</v>
      </c>
      <c r="T43" s="17">
        <f t="shared" si="17"/>
        <v>0.13259242248641673</v>
      </c>
      <c r="U43" s="17">
        <f t="shared" si="17"/>
        <v>0.13165733976630661</v>
      </c>
      <c r="V43" s="17">
        <f t="shared" ref="V43:AE52" si="18">PMT($A43/12,V$2*12,-1)*12</f>
        <v>0.13084249640220283</v>
      </c>
      <c r="W43" s="17">
        <f t="shared" si="18"/>
        <v>0.13013127514546369</v>
      </c>
      <c r="X43" s="17">
        <f t="shared" si="18"/>
        <v>0.1295096165977124</v>
      </c>
      <c r="Y43" s="17">
        <f t="shared" si="18"/>
        <v>0.12896556763900338</v>
      </c>
      <c r="Z43" s="17">
        <f t="shared" si="18"/>
        <v>0.12848892198620424</v>
      </c>
      <c r="AA43" s="17">
        <f t="shared" si="18"/>
        <v>0.12807093148177914</v>
      </c>
      <c r="AB43" s="17">
        <f t="shared" si="18"/>
        <v>0.12770407224171734</v>
      </c>
      <c r="AC43" s="17">
        <f t="shared" si="18"/>
        <v>0.12738185376222527</v>
      </c>
      <c r="AD43" s="17">
        <f t="shared" si="18"/>
        <v>0.12709866197035827</v>
      </c>
      <c r="AE43" s="17">
        <f t="shared" si="18"/>
        <v>0.12684962932356639</v>
      </c>
      <c r="AF43" s="17">
        <f t="shared" ref="AF43:AK52" si="19">PMT($A43/12,AF$2*12,-1)*12</f>
        <v>0.12663052663628707</v>
      </c>
      <c r="AG43" s="17">
        <f t="shared" si="19"/>
        <v>0.1264376724903897</v>
      </c>
      <c r="AH43" s="17">
        <f t="shared" si="19"/>
        <v>0.12626785697736323</v>
      </c>
      <c r="AI43" s="17">
        <f t="shared" si="19"/>
        <v>0.1261182771995632</v>
      </c>
      <c r="AJ43" s="17">
        <f t="shared" si="19"/>
        <v>0.12598648248008915</v>
      </c>
      <c r="AK43" s="17">
        <f t="shared" si="19"/>
        <v>0.12587032763541495</v>
      </c>
    </row>
    <row r="44" spans="1:37">
      <c r="A44" s="13">
        <v>0.1275</v>
      </c>
      <c r="B44" s="17">
        <f t="shared" si="16"/>
        <v>0.27150360574565457</v>
      </c>
      <c r="C44" s="17">
        <f t="shared" si="16"/>
        <v>0.23930880029552154</v>
      </c>
      <c r="D44" s="17">
        <f t="shared" si="16"/>
        <v>0.21667589267326276</v>
      </c>
      <c r="E44" s="17">
        <f t="shared" si="16"/>
        <v>0.20001267907770764</v>
      </c>
      <c r="F44" s="17">
        <f t="shared" si="16"/>
        <v>0.18732277600342284</v>
      </c>
      <c r="G44" s="17">
        <f t="shared" si="16"/>
        <v>0.17740777029674651</v>
      </c>
      <c r="H44" s="17">
        <f t="shared" si="16"/>
        <v>0.16950456375242218</v>
      </c>
      <c r="I44" s="17">
        <f t="shared" si="16"/>
        <v>0.16310404776770032</v>
      </c>
      <c r="J44" s="17">
        <f t="shared" si="16"/>
        <v>0.15785346787385068</v>
      </c>
      <c r="K44" s="17">
        <f t="shared" si="16"/>
        <v>0.15350063238167269</v>
      </c>
      <c r="L44" s="17">
        <f t="shared" si="17"/>
        <v>0.14986043716296235</v>
      </c>
      <c r="M44" s="17">
        <f t="shared" si="17"/>
        <v>0.14679394263570897</v>
      </c>
      <c r="N44" s="17">
        <f t="shared" si="17"/>
        <v>0.14419483387676763</v>
      </c>
      <c r="O44" s="17">
        <f t="shared" si="17"/>
        <v>0.14198039222108505</v>
      </c>
      <c r="P44" s="17">
        <f t="shared" si="17"/>
        <v>0.14008531588725009</v>
      </c>
      <c r="Q44" s="17">
        <f t="shared" si="17"/>
        <v>0.13845739222003775</v>
      </c>
      <c r="R44" s="17">
        <f t="shared" si="17"/>
        <v>0.13705440416900699</v>
      </c>
      <c r="S44" s="17">
        <f t="shared" si="17"/>
        <v>0.13584187818202259</v>
      </c>
      <c r="T44" s="17">
        <f t="shared" si="17"/>
        <v>0.13479141737745093</v>
      </c>
      <c r="U44" s="17">
        <f t="shared" si="17"/>
        <v>0.13387944928227069</v>
      </c>
      <c r="V44" s="17">
        <f t="shared" si="18"/>
        <v>0.13308627208931151</v>
      </c>
      <c r="W44" s="17">
        <f t="shared" si="18"/>
        <v>0.13239531912471053</v>
      </c>
      <c r="X44" s="17">
        <f t="shared" si="18"/>
        <v>0.13179258503672231</v>
      </c>
      <c r="Y44" s="17">
        <f t="shared" si="18"/>
        <v>0.13126617337564819</v>
      </c>
      <c r="Z44" s="17">
        <f t="shared" si="18"/>
        <v>0.13080593637394045</v>
      </c>
      <c r="AA44" s="17">
        <f t="shared" si="18"/>
        <v>0.13040318552890731</v>
      </c>
      <c r="AB44" s="17">
        <f t="shared" si="18"/>
        <v>0.13005045711760493</v>
      </c>
      <c r="AC44" s="17">
        <f t="shared" si="18"/>
        <v>0.12974132074306138</v>
      </c>
      <c r="AD44" s="17">
        <f t="shared" si="18"/>
        <v>0.12947022189536334</v>
      </c>
      <c r="AE44" s="17">
        <f t="shared" si="18"/>
        <v>0.12923235162993704</v>
      </c>
      <c r="AF44" s="17">
        <f t="shared" si="19"/>
        <v>0.12902353803770458</v>
      </c>
      <c r="AG44" s="17">
        <f t="shared" si="19"/>
        <v>0.12884015535984969</v>
      </c>
      <c r="AH44" s="17">
        <f t="shared" si="19"/>
        <v>0.12867904749057213</v>
      </c>
      <c r="AI44" s="17">
        <f t="shared" si="19"/>
        <v>0.12853746329035842</v>
      </c>
      <c r="AJ44" s="17">
        <f t="shared" si="19"/>
        <v>0.12841300165441763</v>
      </c>
      <c r="AK44" s="17">
        <f t="shared" si="19"/>
        <v>0.12830356468547394</v>
      </c>
    </row>
    <row r="45" spans="1:37">
      <c r="A45" s="13">
        <v>0.13</v>
      </c>
      <c r="B45" s="17">
        <f t="shared" si="16"/>
        <v>0.2730368765306882</v>
      </c>
      <c r="C45" s="17">
        <f t="shared" si="16"/>
        <v>0.24088926247733486</v>
      </c>
      <c r="D45" s="17">
        <f t="shared" si="16"/>
        <v>0.21830356018530808</v>
      </c>
      <c r="E45" s="17">
        <f t="shared" si="16"/>
        <v>0.20168706077551035</v>
      </c>
      <c r="F45" s="17">
        <f t="shared" si="16"/>
        <v>0.18904305222469409</v>
      </c>
      <c r="G45" s="17">
        <f t="shared" si="16"/>
        <v>0.17917288797266981</v>
      </c>
      <c r="H45" s="17">
        <f t="shared" si="16"/>
        <v>0.17131329475646401</v>
      </c>
      <c r="I45" s="17">
        <f t="shared" si="16"/>
        <v>0.16495502897555156</v>
      </c>
      <c r="J45" s="17">
        <f t="shared" si="16"/>
        <v>0.15974523133241736</v>
      </c>
      <c r="K45" s="17">
        <f t="shared" si="16"/>
        <v>0.15543162967635896</v>
      </c>
      <c r="L45" s="17">
        <f t="shared" si="17"/>
        <v>0.15182906007347532</v>
      </c>
      <c r="M45" s="17">
        <f t="shared" si="17"/>
        <v>0.148798541184055</v>
      </c>
      <c r="N45" s="17">
        <f t="shared" si="17"/>
        <v>0.14623373236216852</v>
      </c>
      <c r="O45" s="17">
        <f t="shared" si="17"/>
        <v>0.14405190356688902</v>
      </c>
      <c r="P45" s="17">
        <f t="shared" si="17"/>
        <v>0.14218775448109791</v>
      </c>
      <c r="Q45" s="17">
        <f t="shared" si="17"/>
        <v>0.14058908535339643</v>
      </c>
      <c r="R45" s="17">
        <f t="shared" si="17"/>
        <v>0.13921370214539552</v>
      </c>
      <c r="S45" s="17">
        <f t="shared" si="17"/>
        <v>0.13802716314805352</v>
      </c>
      <c r="T45" s="17">
        <f t="shared" si="17"/>
        <v>0.1370011109275503</v>
      </c>
      <c r="U45" s="17">
        <f t="shared" si="17"/>
        <v>0.13611201889091798</v>
      </c>
      <c r="V45" s="17">
        <f t="shared" si="18"/>
        <v>0.13534023643042134</v>
      </c>
      <c r="W45" s="17">
        <f t="shared" si="18"/>
        <v>0.13466925234429342</v>
      </c>
      <c r="X45" s="17">
        <f t="shared" si="18"/>
        <v>0.13408512005097556</v>
      </c>
      <c r="Y45" s="17">
        <f t="shared" si="18"/>
        <v>0.1335760042714598</v>
      </c>
      <c r="Z45" s="17">
        <f t="shared" si="18"/>
        <v>0.133131819992098</v>
      </c>
      <c r="AA45" s="17">
        <f t="shared" si="18"/>
        <v>0.13274394231198733</v>
      </c>
      <c r="AB45" s="17">
        <f t="shared" si="18"/>
        <v>0.13240497130461962</v>
      </c>
      <c r="AC45" s="17">
        <f t="shared" si="18"/>
        <v>0.13210853999159983</v>
      </c>
      <c r="AD45" s="17">
        <f t="shared" si="18"/>
        <v>0.13184915640937153</v>
      </c>
      <c r="AE45" s="17">
        <f t="shared" si="18"/>
        <v>0.13162207286765792</v>
      </c>
      <c r="AF45" s="17">
        <f t="shared" si="19"/>
        <v>0.13142317706987072</v>
      </c>
      <c r="AG45" s="17">
        <f t="shared" si="19"/>
        <v>0.13124890094320169</v>
      </c>
      <c r="AH45" s="17">
        <f t="shared" si="19"/>
        <v>0.13109614391637175</v>
      </c>
      <c r="AI45" s="17">
        <f t="shared" si="19"/>
        <v>0.13096220806195302</v>
      </c>
      <c r="AJ45" s="17">
        <f t="shared" si="19"/>
        <v>0.13084474304224644</v>
      </c>
      <c r="AK45" s="17">
        <f t="shared" si="19"/>
        <v>0.13074169920232059</v>
      </c>
    </row>
    <row r="46" spans="1:37">
      <c r="A46" s="13">
        <v>0.13250000000000001</v>
      </c>
      <c r="B46" s="17">
        <f t="shared" si="16"/>
        <v>0.27457506180908353</v>
      </c>
      <c r="C46" s="17">
        <f t="shared" si="16"/>
        <v>0.24247551609413043</v>
      </c>
      <c r="D46" s="17">
        <f t="shared" si="16"/>
        <v>0.21993784134815975</v>
      </c>
      <c r="E46" s="17">
        <f t="shared" si="16"/>
        <v>0.20336881722587666</v>
      </c>
      <c r="F46" s="17">
        <f t="shared" si="16"/>
        <v>0.19077139787330546</v>
      </c>
      <c r="G46" s="17">
        <f t="shared" si="16"/>
        <v>0.18094669914595646</v>
      </c>
      <c r="H46" s="17">
        <f t="shared" si="16"/>
        <v>0.17313126970645715</v>
      </c>
      <c r="I46" s="17">
        <f t="shared" si="16"/>
        <v>0.16681572909597842</v>
      </c>
      <c r="J46" s="17">
        <f t="shared" si="16"/>
        <v>0.16164711245088839</v>
      </c>
      <c r="K46" s="17">
        <f t="shared" si="16"/>
        <v>0.15737306748718777</v>
      </c>
      <c r="L46" s="17">
        <f t="shared" si="17"/>
        <v>0.15380837178045681</v>
      </c>
      <c r="M46" s="17">
        <f t="shared" si="17"/>
        <v>0.15081400444011014</v>
      </c>
      <c r="N46" s="17">
        <f t="shared" si="17"/>
        <v>0.14828360208813532</v>
      </c>
      <c r="O46" s="17">
        <f t="shared" si="17"/>
        <v>0.14613442696637524</v>
      </c>
      <c r="P46" s="17">
        <f t="shared" si="17"/>
        <v>0.14430118442859716</v>
      </c>
      <c r="Q46" s="17">
        <f t="shared" si="17"/>
        <v>0.14273169226148372</v>
      </c>
      <c r="R46" s="17">
        <f t="shared" si="17"/>
        <v>0.14138378438335658</v>
      </c>
      <c r="S46" s="17">
        <f t="shared" si="17"/>
        <v>0.14022305607190558</v>
      </c>
      <c r="T46" s="17">
        <f t="shared" si="17"/>
        <v>0.13922119458040599</v>
      </c>
      <c r="U46" s="17">
        <f t="shared" si="17"/>
        <v>0.13835472443731167</v>
      </c>
      <c r="V46" s="17">
        <f t="shared" si="18"/>
        <v>0.13760405139514931</v>
      </c>
      <c r="W46" s="17">
        <f t="shared" si="18"/>
        <v>0.13695272473347708</v>
      </c>
      <c r="X46" s="17">
        <f t="shared" si="18"/>
        <v>0.13638686143927314</v>
      </c>
      <c r="Y46" s="17">
        <f t="shared" si="18"/>
        <v>0.13589469194399753</v>
      </c>
      <c r="Z46" s="17">
        <f t="shared" si="18"/>
        <v>0.13546619823250639</v>
      </c>
      <c r="AA46" s="17">
        <f t="shared" si="18"/>
        <v>0.13509282292887217</v>
      </c>
      <c r="AB46" s="17">
        <f t="shared" si="18"/>
        <v>0.13476723348798489</v>
      </c>
      <c r="AC46" s="17">
        <f t="shared" si="18"/>
        <v>0.13448312958836942</v>
      </c>
      <c r="AD46" s="17">
        <f t="shared" si="18"/>
        <v>0.134235084703477</v>
      </c>
      <c r="AE46" s="17">
        <f t="shared" si="18"/>
        <v>0.13401841494543262</v>
      </c>
      <c r="AF46" s="17">
        <f t="shared" si="19"/>
        <v>0.13382906984598092</v>
      </c>
      <c r="AG46" s="17">
        <f t="shared" si="19"/>
        <v>0.13366354091630195</v>
      </c>
      <c r="AH46" s="17">
        <f t="shared" si="19"/>
        <v>0.13351878471731141</v>
      </c>
      <c r="AI46" s="17">
        <f t="shared" si="19"/>
        <v>0.13339215785088546</v>
      </c>
      <c r="AJ46" s="17">
        <f t="shared" si="19"/>
        <v>0.13328136180456007</v>
      </c>
      <c r="AK46" s="17">
        <f t="shared" si="19"/>
        <v>0.13318439598705392</v>
      </c>
    </row>
    <row r="47" spans="1:37">
      <c r="A47" s="13">
        <v>0.13500000000000001</v>
      </c>
      <c r="B47" s="17">
        <f t="shared" si="16"/>
        <v>0.27611815220264435</v>
      </c>
      <c r="C47" s="17">
        <f t="shared" si="16"/>
        <v>0.24406754607029288</v>
      </c>
      <c r="D47" s="17">
        <f t="shared" si="16"/>
        <v>0.22157871356043096</v>
      </c>
      <c r="E47" s="17">
        <f t="shared" si="16"/>
        <v>0.20505791636416038</v>
      </c>
      <c r="F47" s="17">
        <f t="shared" si="16"/>
        <v>0.19250776944727443</v>
      </c>
      <c r="G47" s="17">
        <f t="shared" si="16"/>
        <v>0.18272914693862455</v>
      </c>
      <c r="H47" s="17">
        <f t="shared" si="16"/>
        <v>0.17495841651371585</v>
      </c>
      <c r="I47" s="17">
        <f t="shared" si="16"/>
        <v>0.16868605916134688</v>
      </c>
      <c r="J47" s="17">
        <f t="shared" si="16"/>
        <v>0.16355900393521813</v>
      </c>
      <c r="K47" s="17">
        <f t="shared" si="16"/>
        <v>0.15932481901154766</v>
      </c>
      <c r="L47" s="17">
        <f t="shared" si="17"/>
        <v>0.15579822508956315</v>
      </c>
      <c r="M47" s="17">
        <f t="shared" si="17"/>
        <v>0.1528401642559572</v>
      </c>
      <c r="N47" s="17">
        <f t="shared" si="17"/>
        <v>0.15034425372369473</v>
      </c>
      <c r="O47" s="17">
        <f t="shared" si="17"/>
        <v>0.14822775200862917</v>
      </c>
      <c r="P47" s="17">
        <f t="shared" si="17"/>
        <v>0.14642537466495142</v>
      </c>
      <c r="Q47" s="17">
        <f t="shared" si="17"/>
        <v>0.14488496195629308</v>
      </c>
      <c r="R47" s="17">
        <f t="shared" si="17"/>
        <v>0.14356438098136576</v>
      </c>
      <c r="S47" s="17">
        <f t="shared" si="17"/>
        <v>0.14242926939594258</v>
      </c>
      <c r="T47" s="17">
        <f t="shared" si="17"/>
        <v>0.1414513645919438</v>
      </c>
      <c r="U47" s="17">
        <f t="shared" si="17"/>
        <v>0.14060724763483642</v>
      </c>
      <c r="V47" s="17">
        <f t="shared" si="18"/>
        <v>0.13987738593325361</v>
      </c>
      <c r="W47" s="17">
        <f t="shared" si="18"/>
        <v>0.13924539435325528</v>
      </c>
      <c r="X47" s="17">
        <f t="shared" si="18"/>
        <v>0.13869745830683405</v>
      </c>
      <c r="Y47" s="17">
        <f t="shared" si="18"/>
        <v>0.13822187849817674</v>
      </c>
      <c r="Z47" s="17">
        <f t="shared" si="18"/>
        <v>0.13780870814497817</v>
      </c>
      <c r="AA47" s="17">
        <f t="shared" si="18"/>
        <v>0.13744946127986929</v>
      </c>
      <c r="AB47" s="17">
        <f t="shared" si="18"/>
        <v>0.13713687625892362</v>
      </c>
      <c r="AC47" s="17">
        <f t="shared" si="18"/>
        <v>0.13686472256911153</v>
      </c>
      <c r="AD47" s="17">
        <f t="shared" si="18"/>
        <v>0.13662764190704585</v>
      </c>
      <c r="AE47" s="17">
        <f t="shared" si="18"/>
        <v>0.13642101661705103</v>
      </c>
      <c r="AF47" s="17">
        <f t="shared" si="19"/>
        <v>0.13624086014661133</v>
      </c>
      <c r="AG47" s="17">
        <f t="shared" si="19"/>
        <v>0.13608372535372401</v>
      </c>
      <c r="AH47" s="17">
        <f t="shared" si="19"/>
        <v>0.13594662739040905</v>
      </c>
      <c r="AI47" s="17">
        <f t="shared" si="19"/>
        <v>0.13582697856544029</v>
      </c>
      <c r="AJ47" s="17">
        <f t="shared" si="19"/>
        <v>0.1357225331116336</v>
      </c>
      <c r="AK47" s="17">
        <f t="shared" si="19"/>
        <v>0.13563134018811401</v>
      </c>
    </row>
    <row r="48" spans="1:37">
      <c r="A48" s="13">
        <v>0.13750000000000001</v>
      </c>
      <c r="B48" s="17">
        <f t="shared" si="16"/>
        <v>0.27766613820700387</v>
      </c>
      <c r="C48" s="17">
        <f t="shared" si="16"/>
        <v>0.2456653371277906</v>
      </c>
      <c r="D48" s="17">
        <f t="shared" si="16"/>
        <v>0.22322615392756845</v>
      </c>
      <c r="E48" s="17">
        <f t="shared" si="16"/>
        <v>0.20675432573435165</v>
      </c>
      <c r="F48" s="17">
        <f t="shared" si="16"/>
        <v>0.19425212295748281</v>
      </c>
      <c r="G48" s="17">
        <f t="shared" si="16"/>
        <v>0.18452017390441661</v>
      </c>
      <c r="H48" s="17">
        <f t="shared" si="16"/>
        <v>0.17679466246864756</v>
      </c>
      <c r="I48" s="17">
        <f t="shared" si="16"/>
        <v>0.17056592957375302</v>
      </c>
      <c r="J48" s="17">
        <f t="shared" si="16"/>
        <v>0.16548079790979098</v>
      </c>
      <c r="K48" s="17">
        <f t="shared" si="16"/>
        <v>0.16128675698599726</v>
      </c>
      <c r="L48" s="17">
        <f t="shared" si="17"/>
        <v>0.1577984725507682</v>
      </c>
      <c r="M48" s="17">
        <f t="shared" si="17"/>
        <v>0.15487685252762273</v>
      </c>
      <c r="N48" s="17">
        <f t="shared" si="17"/>
        <v>0.15241549838315319</v>
      </c>
      <c r="O48" s="17">
        <f t="shared" si="17"/>
        <v>0.15033166923507893</v>
      </c>
      <c r="P48" s="17">
        <f t="shared" si="17"/>
        <v>0.14856009569110654</v>
      </c>
      <c r="Q48" s="17">
        <f t="shared" si="17"/>
        <v>0.14704864573247928</v>
      </c>
      <c r="R48" s="17">
        <f t="shared" si="17"/>
        <v>0.14575522513490316</v>
      </c>
      <c r="S48" s="17">
        <f t="shared" si="17"/>
        <v>0.14464551956221344</v>
      </c>
      <c r="T48" s="17">
        <f t="shared" si="17"/>
        <v>0.14369132219711922</v>
      </c>
      <c r="U48" s="17">
        <f t="shared" si="17"/>
        <v>0.14286927621814027</v>
      </c>
      <c r="V48" s="17">
        <f t="shared" si="18"/>
        <v>0.14215991610553869</v>
      </c>
      <c r="W48" s="17">
        <f t="shared" si="18"/>
        <v>0.14154692749665262</v>
      </c>
      <c r="X48" s="17">
        <f t="shared" si="18"/>
        <v>0.14101656912628774</v>
      </c>
      <c r="Y48" s="17">
        <f t="shared" si="18"/>
        <v>0.14055721653935047</v>
      </c>
      <c r="Z48" s="17">
        <f t="shared" si="18"/>
        <v>0.1401589983942185</v>
      </c>
      <c r="AA48" s="17">
        <f t="shared" si="18"/>
        <v>0.1398135039607748</v>
      </c>
      <c r="AB48" s="17">
        <f t="shared" si="18"/>
        <v>0.13951354593686555</v>
      </c>
      <c r="AC48" s="17">
        <f t="shared" si="18"/>
        <v>0.1392529666701213</v>
      </c>
      <c r="AD48" s="17">
        <f t="shared" si="18"/>
        <v>0.1390264787511909</v>
      </c>
      <c r="AE48" s="17">
        <f t="shared" si="18"/>
        <v>0.13882953305912921</v>
      </c>
      <c r="AF48" s="17">
        <f t="shared" si="19"/>
        <v>0.13865820890903949</v>
      </c>
      <c r="AG48" s="17">
        <f t="shared" si="19"/>
        <v>0.13850912212818317</v>
      </c>
      <c r="AH48" s="17">
        <f t="shared" si="19"/>
        <v>0.13837934777639685</v>
      </c>
      <c r="AI48" s="17">
        <f t="shared" si="19"/>
        <v>0.13826635490558661</v>
      </c>
      <c r="AJ48" s="17">
        <f t="shared" si="19"/>
        <v>0.1381679512756272</v>
      </c>
      <c r="AK48" s="17">
        <f t="shared" si="19"/>
        <v>0.13808223634950162</v>
      </c>
    </row>
    <row r="49" spans="1:37">
      <c r="A49" s="13">
        <v>0.14000000000000001</v>
      </c>
      <c r="B49" s="17">
        <f t="shared" si="16"/>
        <v>0.27921901019265238</v>
      </c>
      <c r="C49" s="17">
        <f t="shared" si="16"/>
        <v>0.24726887378846479</v>
      </c>
      <c r="D49" s="17">
        <f t="shared" si="16"/>
        <v>0.22488013926634959</v>
      </c>
      <c r="E49" s="17">
        <f t="shared" si="16"/>
        <v>0.20845801249708409</v>
      </c>
      <c r="F49" s="17">
        <f t="shared" si="16"/>
        <v>0.19600441394085064</v>
      </c>
      <c r="G49" s="17">
        <f t="shared" si="16"/>
        <v>0.18631972204909733</v>
      </c>
      <c r="H49" s="17">
        <f t="shared" si="16"/>
        <v>0.17863993427033342</v>
      </c>
      <c r="I49" s="17">
        <f t="shared" si="16"/>
        <v>0.17245525014610416</v>
      </c>
      <c r="J49" s="17">
        <f t="shared" si="16"/>
        <v>0.16741238597209612</v>
      </c>
      <c r="K49" s="17">
        <f t="shared" si="16"/>
        <v>0.16325875375629986</v>
      </c>
      <c r="L49" s="17">
        <f t="shared" si="17"/>
        <v>0.15980896654498644</v>
      </c>
      <c r="M49" s="17">
        <f t="shared" si="17"/>
        <v>0.15692390129877687</v>
      </c>
      <c r="N49" s="17">
        <f t="shared" si="17"/>
        <v>0.15449714774644707</v>
      </c>
      <c r="O49" s="17">
        <f t="shared" si="17"/>
        <v>0.15244597027501944</v>
      </c>
      <c r="P49" s="17">
        <f t="shared" si="17"/>
        <v>0.15070511972183576</v>
      </c>
      <c r="Q49" s="17">
        <f t="shared" si="17"/>
        <v>0.14922249732422865</v>
      </c>
      <c r="R49" s="17">
        <f t="shared" si="17"/>
        <v>0.14795605329720024</v>
      </c>
      <c r="S49" s="17">
        <f t="shared" si="17"/>
        <v>0.14687152717112512</v>
      </c>
      <c r="T49" s="17">
        <f t="shared" si="17"/>
        <v>0.14594077375966444</v>
      </c>
      <c r="U49" s="17">
        <f t="shared" si="17"/>
        <v>0.14514050407638504</v>
      </c>
      <c r="V49" s="17">
        <f t="shared" si="18"/>
        <v>0.14445132519253789</v>
      </c>
      <c r="W49" s="17">
        <f t="shared" si="18"/>
        <v>0.1438569987645022</v>
      </c>
      <c r="X49" s="17">
        <f t="shared" si="18"/>
        <v>0.14334386177218975</v>
      </c>
      <c r="Y49" s="17">
        <f t="shared" si="18"/>
        <v>0.14290036915842685</v>
      </c>
      <c r="Z49" s="17">
        <f t="shared" si="18"/>
        <v>0.14251672918785663</v>
      </c>
      <c r="AA49" s="17">
        <f t="shared" si="18"/>
        <v>0.14218461012678413</v>
      </c>
      <c r="AB49" s="17">
        <f t="shared" si="18"/>
        <v>0.14189690236303126</v>
      </c>
      <c r="AC49" s="17">
        <f t="shared" si="18"/>
        <v>0.14164752404627043</v>
      </c>
      <c r="AD49" s="17">
        <f t="shared" si="18"/>
        <v>0.14143126120707575</v>
      </c>
      <c r="AE49" s="17">
        <f t="shared" si="18"/>
        <v>0.14124363542668311</v>
      </c>
      <c r="AF49" s="17">
        <f t="shared" si="19"/>
        <v>0.14108079369825621</v>
      </c>
      <c r="AG49" s="17">
        <f t="shared" si="19"/>
        <v>0.14093941629633294</v>
      </c>
      <c r="AH49" s="17">
        <f t="shared" si="19"/>
        <v>0.14081663936079775</v>
      </c>
      <c r="AI49" s="17">
        <f t="shared" si="19"/>
        <v>0.14070998958092018</v>
      </c>
      <c r="AJ49" s="17">
        <f t="shared" si="19"/>
        <v>0.1406173288879915</v>
      </c>
      <c r="AK49" s="17">
        <f t="shared" si="19"/>
        <v>0.14053680747116129</v>
      </c>
    </row>
    <row r="50" spans="1:37">
      <c r="A50" s="13">
        <v>0.14249999999999999</v>
      </c>
      <c r="B50" s="17">
        <f t="shared" si="16"/>
        <v>0.28077675840597449</v>
      </c>
      <c r="C50" s="17">
        <f t="shared" si="16"/>
        <v>0.24887814037633921</v>
      </c>
      <c r="D50" s="17">
        <f t="shared" si="16"/>
        <v>0.22654064610941249</v>
      </c>
      <c r="E50" s="17">
        <f t="shared" si="16"/>
        <v>0.210168943437686</v>
      </c>
      <c r="F50" s="17">
        <f t="shared" si="16"/>
        <v>0.19776459747354905</v>
      </c>
      <c r="G50" s="17">
        <f t="shared" si="16"/>
        <v>0.18812773285075321</v>
      </c>
      <c r="H50" s="17">
        <f t="shared" si="16"/>
        <v>0.18049415805601546</v>
      </c>
      <c r="I50" s="17">
        <f t="shared" si="16"/>
        <v>0.17435393014291645</v>
      </c>
      <c r="J50" s="17">
        <f t="shared" si="16"/>
        <v>0.16935365924679635</v>
      </c>
      <c r="K50" s="17">
        <f t="shared" si="16"/>
        <v>0.16524068134635514</v>
      </c>
      <c r="L50" s="17">
        <f t="shared" si="17"/>
        <v>0.16182955936887986</v>
      </c>
      <c r="M50" s="17">
        <f t="shared" si="17"/>
        <v>0.1589811428616528</v>
      </c>
      <c r="N50" s="17">
        <f t="shared" si="17"/>
        <v>0.1565890141754718</v>
      </c>
      <c r="O50" s="17">
        <f t="shared" si="17"/>
        <v>0.15457044797558617</v>
      </c>
      <c r="P50" s="17">
        <f t="shared" si="17"/>
        <v>0.15286022082646425</v>
      </c>
      <c r="Q50" s="17">
        <f t="shared" si="17"/>
        <v>0.1514062730527044</v>
      </c>
      <c r="R50" s="17">
        <f t="shared" si="17"/>
        <v>0.1501666053282914</v>
      </c>
      <c r="S50" s="17">
        <f t="shared" si="17"/>
        <v>0.14910701712601093</v>
      </c>
      <c r="T50" s="17">
        <f t="shared" si="17"/>
        <v>0.14819943090526644</v>
      </c>
      <c r="U50" s="17">
        <f t="shared" si="17"/>
        <v>0.14742063136751102</v>
      </c>
      <c r="V50" s="17">
        <f t="shared" si="18"/>
        <v>0.14675130378194801</v>
      </c>
      <c r="W50" s="17">
        <f t="shared" si="18"/>
        <v>0.14617529111798447</v>
      </c>
      <c r="X50" s="17">
        <f t="shared" si="18"/>
        <v>0.14567901353069207</v>
      </c>
      <c r="Y50" s="17">
        <f t="shared" si="18"/>
        <v>0.14525100989102741</v>
      </c>
      <c r="Z50" s="17">
        <f t="shared" si="18"/>
        <v>0.14488157217799447</v>
      </c>
      <c r="AA50" s="17">
        <f t="shared" si="18"/>
        <v>0.14456245133007026</v>
      </c>
      <c r="AB50" s="17">
        <f t="shared" si="18"/>
        <v>0.14428661866857229</v>
      </c>
      <c r="AC50" s="17">
        <f t="shared" si="18"/>
        <v>0.14404807096525887</v>
      </c>
      <c r="AD50" s="17">
        <f t="shared" si="18"/>
        <v>0.1438416701029282</v>
      </c>
      <c r="AE50" s="17">
        <f t="shared" si="18"/>
        <v>0.14366301039070181</v>
      </c>
      <c r="AF50" s="17">
        <f t="shared" si="19"/>
        <v>0.14350830816405669</v>
      </c>
      <c r="AG50" s="17">
        <f t="shared" si="19"/>
        <v>0.14337430947547247</v>
      </c>
      <c r="AH50" s="17">
        <f t="shared" si="19"/>
        <v>0.14325821257143817</v>
      </c>
      <c r="AI50" s="17">
        <f t="shared" si="19"/>
        <v>0.14315760253119114</v>
      </c>
      <c r="AJ50" s="17">
        <f t="shared" si="19"/>
        <v>0.14307039596614934</v>
      </c>
      <c r="AK50" s="17">
        <f t="shared" si="19"/>
        <v>0.14299479408578022</v>
      </c>
    </row>
    <row r="51" spans="1:37">
      <c r="A51" s="13">
        <v>0.14499999999999999</v>
      </c>
      <c r="B51" s="17">
        <f t="shared" si="16"/>
        <v>0.28233937297029682</v>
      </c>
      <c r="C51" s="17">
        <f t="shared" si="16"/>
        <v>0.25049312101994903</v>
      </c>
      <c r="D51" s="17">
        <f t="shared" si="16"/>
        <v>0.22820765070981724</v>
      </c>
      <c r="E51" s="17">
        <f t="shared" si="16"/>
        <v>0.21188708497427006</v>
      </c>
      <c r="F51" s="17">
        <f t="shared" si="16"/>
        <v>0.19953262818424539</v>
      </c>
      <c r="G51" s="17">
        <f t="shared" si="16"/>
        <v>0.18994414728008235</v>
      </c>
      <c r="H51" s="17">
        <f t="shared" si="16"/>
        <v>0.18235725943046904</v>
      </c>
      <c r="I51" s="17">
        <f t="shared" si="16"/>
        <v>0.17626187832079848</v>
      </c>
      <c r="J51" s="17">
        <f t="shared" si="16"/>
        <v>0.17130450843914966</v>
      </c>
      <c r="K51" s="17">
        <f t="shared" si="16"/>
        <v>0.16723241152597529</v>
      </c>
      <c r="L51" s="17">
        <f t="shared" si="17"/>
        <v>0.163860103317787</v>
      </c>
      <c r="M51" s="17">
        <f t="shared" si="17"/>
        <v>0.16104840985512062</v>
      </c>
      <c r="N51" s="17">
        <f t="shared" si="17"/>
        <v>0.15869091082633094</v>
      </c>
      <c r="O51" s="17">
        <f t="shared" si="17"/>
        <v>0.15670489652614292</v>
      </c>
      <c r="P51" s="17">
        <f t="shared" si="17"/>
        <v>0.15502517506224356</v>
      </c>
      <c r="Q51" s="17">
        <f t="shared" si="17"/>
        <v>0.15359973196415003</v>
      </c>
      <c r="R51" s="17">
        <f t="shared" si="17"/>
        <v>0.152386624632558</v>
      </c>
      <c r="S51" s="17">
        <f t="shared" si="17"/>
        <v>0.15135171876392317</v>
      </c>
      <c r="T51" s="17">
        <f t="shared" si="17"/>
        <v>0.15046701063868934</v>
      </c>
      <c r="U51" s="17">
        <f t="shared" si="17"/>
        <v>0.14970936461425116</v>
      </c>
      <c r="V51" s="17">
        <f t="shared" si="18"/>
        <v>0.14905954983581562</v>
      </c>
      <c r="W51" s="17">
        <f t="shared" si="18"/>
        <v>0.14850149590922476</v>
      </c>
      <c r="X51" s="17">
        <f t="shared" si="18"/>
        <v>0.14802171108599355</v>
      </c>
      <c r="Y51" s="17">
        <f t="shared" si="18"/>
        <v>0.1476088226526609</v>
      </c>
      <c r="Z51" s="17">
        <f t="shared" si="18"/>
        <v>0.14725321033860758</v>
      </c>
      <c r="AA51" s="17">
        <f t="shared" si="18"/>
        <v>0.14694671133372256</v>
      </c>
      <c r="AB51" s="17">
        <f t="shared" si="18"/>
        <v>0.14668238102030706</v>
      </c>
      <c r="AC51" s="17">
        <f t="shared" si="18"/>
        <v>0.14645429748145297</v>
      </c>
      <c r="AD51" s="17">
        <f t="shared" si="18"/>
        <v>0.1462574007233976</v>
      </c>
      <c r="AE51" s="17">
        <f t="shared" si="18"/>
        <v>0.14608735966157865</v>
      </c>
      <c r="AF51" s="17">
        <f t="shared" si="19"/>
        <v>0.14594046148822998</v>
      </c>
      <c r="AG51" s="17">
        <f t="shared" si="19"/>
        <v>0.14581351921527019</v>
      </c>
      <c r="AH51" s="17">
        <f t="shared" si="19"/>
        <v>0.14570379407651021</v>
      </c>
      <c r="AI51" s="17">
        <f t="shared" si="19"/>
        <v>0.14560893015345211</v>
      </c>
      <c r="AJ51" s="17">
        <f t="shared" si="19"/>
        <v>0.14552689911331815</v>
      </c>
      <c r="AK51" s="17">
        <f t="shared" si="19"/>
        <v>0.14545595335560366</v>
      </c>
    </row>
    <row r="52" spans="1:37">
      <c r="A52" s="13">
        <v>0.14749999999999999</v>
      </c>
      <c r="B52" s="17">
        <f t="shared" si="16"/>
        <v>0.28390684388694409</v>
      </c>
      <c r="C52" s="17">
        <f t="shared" si="16"/>
        <v>0.25211379965468833</v>
      </c>
      <c r="D52" s="17">
        <f t="shared" si="16"/>
        <v>0.22988112904563712</v>
      </c>
      <c r="E52" s="17">
        <f t="shared" si="16"/>
        <v>0.21361240316586017</v>
      </c>
      <c r="F52" s="17">
        <f t="shared" si="16"/>
        <v>0.20130846026737365</v>
      </c>
      <c r="G52" s="17">
        <f t="shared" si="16"/>
        <v>0.19176890582066142</v>
      </c>
      <c r="H52" s="17">
        <f t="shared" si="16"/>
        <v>0.18422916349524165</v>
      </c>
      <c r="I52" s="17">
        <f t="shared" si="16"/>
        <v>0.17817900296859257</v>
      </c>
      <c r="J52" s="17">
        <f t="shared" si="16"/>
        <v>0.17326482388774381</v>
      </c>
      <c r="K52" s="17">
        <f t="shared" si="16"/>
        <v>0.16923381587745445</v>
      </c>
      <c r="L52" s="17">
        <f t="shared" si="17"/>
        <v>0.16590045076671561</v>
      </c>
      <c r="M52" s="17">
        <f t="shared" si="17"/>
        <v>0.16312553535985624</v>
      </c>
      <c r="N52" s="17">
        <f t="shared" si="17"/>
        <v>0.16080265175745698</v>
      </c>
      <c r="O52" s="17">
        <f t="shared" si="17"/>
        <v>0.15884911157706286</v>
      </c>
      <c r="P52" s="17">
        <f t="shared" si="17"/>
        <v>0.15719976060040175</v>
      </c>
      <c r="Q52" s="17">
        <f t="shared" si="17"/>
        <v>0.15580263595875288</v>
      </c>
      <c r="R52" s="17">
        <f t="shared" si="17"/>
        <v>0.1546158582849757</v>
      </c>
      <c r="S52" s="17">
        <f t="shared" si="17"/>
        <v>0.15360536597300672</v>
      </c>
      <c r="T52" s="17">
        <f t="shared" si="17"/>
        <v>0.15274323544537832</v>
      </c>
      <c r="U52" s="17">
        <f t="shared" si="17"/>
        <v>0.15200641678265367</v>
      </c>
      <c r="V52" s="17">
        <f t="shared" si="18"/>
        <v>0.15137576873848779</v>
      </c>
      <c r="W52" s="17">
        <f t="shared" si="18"/>
        <v>0.1508353128912496</v>
      </c>
      <c r="X52" s="17">
        <f t="shared" si="18"/>
        <v>0.15037165048518047</v>
      </c>
      <c r="Y52" s="17">
        <f t="shared" si="18"/>
        <v>0.14997350165184709</v>
      </c>
      <c r="Z52" s="17">
        <f t="shared" si="18"/>
        <v>0.14963133782106203</v>
      </c>
      <c r="AA52" s="17">
        <f t="shared" si="18"/>
        <v>0.14933708590463357</v>
      </c>
      <c r="AB52" s="17">
        <f t="shared" si="18"/>
        <v>0.14908388834693967</v>
      </c>
      <c r="AC52" s="17">
        <f t="shared" si="18"/>
        <v>0.14886590709246694</v>
      </c>
      <c r="AD52" s="17">
        <f t="shared" si="18"/>
        <v>0.14867816239463927</v>
      </c>
      <c r="AE52" s="17">
        <f t="shared" si="18"/>
        <v>0.14851639950195436</v>
      </c>
      <c r="AF52" s="17">
        <f t="shared" si="19"/>
        <v>0.14837697782550632</v>
      </c>
      <c r="AG52" s="17">
        <f t="shared" si="19"/>
        <v>0.14825677836819709</v>
      </c>
      <c r="AH52" s="17">
        <f t="shared" si="19"/>
        <v>0.14815312608682929</v>
      </c>
      <c r="AI52" s="17">
        <f t="shared" si="19"/>
        <v>0.14806372453934069</v>
      </c>
      <c r="AJ52" s="17">
        <f t="shared" si="19"/>
        <v>0.14798660069477243</v>
      </c>
      <c r="AK52" s="17">
        <f t="shared" si="19"/>
        <v>0.14792005819226958</v>
      </c>
    </row>
    <row r="53" spans="1:37">
      <c r="A53" s="13">
        <v>0.15</v>
      </c>
      <c r="B53" s="17">
        <f t="shared" ref="B53:K62" si="20">PMT($A53/12,B$2*12,-1)*12</f>
        <v>0.28547916103630477</v>
      </c>
      <c r="C53" s="17">
        <f t="shared" si="20"/>
        <v>0.25374016002517602</v>
      </c>
      <c r="D53" s="17">
        <f t="shared" si="20"/>
        <v>0.23156105682457798</v>
      </c>
      <c r="E53" s="17">
        <f t="shared" si="20"/>
        <v>0.21534486372055006</v>
      </c>
      <c r="F53" s="17">
        <f t="shared" si="20"/>
        <v>0.20309204749642257</v>
      </c>
      <c r="G53" s="17">
        <f t="shared" si="20"/>
        <v>0.19360194848917867</v>
      </c>
      <c r="H53" s="17">
        <f t="shared" si="20"/>
        <v>0.18610979487773885</v>
      </c>
      <c r="I53" s="17">
        <f t="shared" si="20"/>
        <v>0.18010521194714513</v>
      </c>
      <c r="J53" s="17">
        <f t="shared" si="20"/>
        <v>0.17523449561650584</v>
      </c>
      <c r="K53" s="17">
        <f t="shared" si="20"/>
        <v>0.17124476586088594</v>
      </c>
      <c r="L53" s="17">
        <f t="shared" ref="L53:U62" si="21">PMT($A53/12,L$2*12,-1)*12</f>
        <v>0.16795045424934871</v>
      </c>
      <c r="M53" s="17">
        <f t="shared" si="21"/>
        <v>0.165212352990557</v>
      </c>
      <c r="N53" s="17">
        <f t="shared" si="21"/>
        <v>0.16292405203356905</v>
      </c>
      <c r="O53" s="17">
        <f t="shared" si="21"/>
        <v>0.16100289035289686</v>
      </c>
      <c r="P53" s="17">
        <f t="shared" si="21"/>
        <v>0.15938375784491796</v>
      </c>
      <c r="Q53" s="17">
        <f t="shared" si="21"/>
        <v>0.15801474991039652</v>
      </c>
      <c r="R53" s="17">
        <f t="shared" si="21"/>
        <v>0.15685405714630402</v>
      </c>
      <c r="S53" s="17">
        <f t="shared" si="21"/>
        <v>0.15586769729683667</v>
      </c>
      <c r="T53" s="17">
        <f t="shared" si="21"/>
        <v>0.15502783337810919</v>
      </c>
      <c r="U53" s="17">
        <f t="shared" si="21"/>
        <v>0.15431150734389032</v>
      </c>
      <c r="V53" s="17">
        <f t="shared" ref="V53:AE62" si="22">PMT($A53/12,V$2*12,-1)*12</f>
        <v>0.15369967332635223</v>
      </c>
      <c r="W53" s="17">
        <f t="shared" si="22"/>
        <v>0.1531764502085976</v>
      </c>
      <c r="X53" s="17">
        <f t="shared" si="22"/>
        <v>0.15272853708304426</v>
      </c>
      <c r="Y53" s="17">
        <f t="shared" si="22"/>
        <v>0.15234475128307881</v>
      </c>
      <c r="Z53" s="17">
        <f t="shared" si="22"/>
        <v>0.15201565978993423</v>
      </c>
      <c r="AA53" s="17">
        <f t="shared" si="22"/>
        <v>0.15173328258780519</v>
      </c>
      <c r="AB53" s="17">
        <f t="shared" si="22"/>
        <v>0.15149085204849622</v>
      </c>
      <c r="AC53" s="17">
        <f t="shared" si="22"/>
        <v>0.15128261638144794</v>
      </c>
      <c r="AD53" s="17">
        <f t="shared" si="22"/>
        <v>0.151103678058263</v>
      </c>
      <c r="AE53" s="17">
        <f t="shared" si="22"/>
        <v>0.15094986023222989</v>
      </c>
      <c r="AF53" s="17">
        <f t="shared" ref="AF53:AK62" si="23">PMT($A53/12,AF$2*12,-1)*12</f>
        <v>0.15081759574157588</v>
      </c>
      <c r="AG53" s="17">
        <f t="shared" si="23"/>
        <v>0.15070383446196461</v>
      </c>
      <c r="AH53" s="17">
        <f t="shared" si="23"/>
        <v>0.15060596566548978</v>
      </c>
      <c r="AI53" s="17">
        <f t="shared" si="23"/>
        <v>0.15052175272552973</v>
      </c>
      <c r="AJ53" s="17">
        <f t="shared" si="23"/>
        <v>0.15044927803333033</v>
      </c>
      <c r="AK53" s="17">
        <f t="shared" si="23"/>
        <v>0.15038689640211847</v>
      </c>
    </row>
    <row r="54" spans="1:37">
      <c r="A54" s="13">
        <v>0.1525</v>
      </c>
      <c r="B54" s="17">
        <f t="shared" si="20"/>
        <v>0.28705631417890604</v>
      </c>
      <c r="C54" s="17">
        <f t="shared" si="20"/>
        <v>0.25537218568763898</v>
      </c>
      <c r="D54" s="17">
        <f t="shared" si="20"/>
        <v>0.2332474094886238</v>
      </c>
      <c r="E54" s="17">
        <f t="shared" si="20"/>
        <v>0.21708443200369104</v>
      </c>
      <c r="F54" s="17">
        <f t="shared" si="20"/>
        <v>0.20488334323723628</v>
      </c>
      <c r="G54" s="17">
        <f t="shared" si="20"/>
        <v>0.19544321485562066</v>
      </c>
      <c r="H54" s="17">
        <f t="shared" si="20"/>
        <v>0.18799907776013869</v>
      </c>
      <c r="I54" s="17">
        <f t="shared" si="20"/>
        <v>0.18204041272867955</v>
      </c>
      <c r="J54" s="17">
        <f t="shared" si="20"/>
        <v>0.17721341338595115</v>
      </c>
      <c r="K54" s="17">
        <f t="shared" si="20"/>
        <v>0.17326513287818276</v>
      </c>
      <c r="L54" s="17">
        <f t="shared" si="21"/>
        <v>0.17000996653501466</v>
      </c>
      <c r="M54" s="17">
        <f t="shared" si="21"/>
        <v>0.16730869698515938</v>
      </c>
      <c r="N54" s="17">
        <f t="shared" si="21"/>
        <v>0.1650549278254384</v>
      </c>
      <c r="O54" s="17">
        <f t="shared" si="21"/>
        <v>0.16316603175993555</v>
      </c>
      <c r="P54" s="17">
        <f t="shared" si="21"/>
        <v>0.16157694954408197</v>
      </c>
      <c r="Q54" s="17">
        <f t="shared" si="21"/>
        <v>0.16023584177744427</v>
      </c>
      <c r="R54" s="17">
        <f t="shared" si="21"/>
        <v>0.15910097596747422</v>
      </c>
      <c r="S54" s="17">
        <f t="shared" si="21"/>
        <v>0.15813845602612162</v>
      </c>
      <c r="T54" s="17">
        <f t="shared" si="21"/>
        <v>0.15732053812926389</v>
      </c>
      <c r="U54" s="17">
        <f t="shared" si="21"/>
        <v>0.15662436232014135</v>
      </c>
      <c r="V54" s="17">
        <f t="shared" si="22"/>
        <v>0.15603098390039327</v>
      </c>
      <c r="W54" s="17">
        <f t="shared" si="22"/>
        <v>0.15552462436987047</v>
      </c>
      <c r="X54" s="17">
        <f t="shared" si="22"/>
        <v>0.15509208546843295</v>
      </c>
      <c r="Y54" s="17">
        <f t="shared" si="22"/>
        <v>0.15472228600145307</v>
      </c>
      <c r="Z54" s="17">
        <f t="shared" si="22"/>
        <v>0.15440589224123324</v>
      </c>
      <c r="AA54" s="17">
        <f t="shared" si="22"/>
        <v>0.1541350204644262</v>
      </c>
      <c r="AB54" s="17">
        <f t="shared" si="22"/>
        <v>0.15390299569155261</v>
      </c>
      <c r="AC54" s="17">
        <f t="shared" si="22"/>
        <v>0.15370415464782022</v>
      </c>
      <c r="AD54" s="17">
        <f t="shared" si="22"/>
        <v>0.15353368383703625</v>
      </c>
      <c r="AE54" s="17">
        <f t="shared" si="22"/>
        <v>0.15338748573171418</v>
      </c>
      <c r="AF54" s="17">
        <f t="shared" si="23"/>
        <v>0.15326206765115441</v>
      </c>
      <c r="AG54" s="17">
        <f t="shared" si="23"/>
        <v>0.15315444907688708</v>
      </c>
      <c r="AH54" s="17">
        <f t="shared" si="23"/>
        <v>0.15306208404770716</v>
      </c>
      <c r="AI54" s="17">
        <f t="shared" si="23"/>
        <v>0.15298279595992847</v>
      </c>
      <c r="AJ54" s="17">
        <f t="shared" si="23"/>
        <v>0.15291472262636979</v>
      </c>
      <c r="AK54" s="17">
        <f t="shared" si="23"/>
        <v>0.15285626985893785</v>
      </c>
    </row>
    <row r="55" spans="1:37">
      <c r="A55" s="13">
        <v>0.155</v>
      </c>
      <c r="B55" s="17">
        <f t="shared" si="20"/>
        <v>0.28863829295649662</v>
      </c>
      <c r="C55" s="17">
        <f t="shared" si="20"/>
        <v>0.25700986001231252</v>
      </c>
      <c r="D55" s="17">
        <f t="shared" si="20"/>
        <v>0.234940162218708</v>
      </c>
      <c r="E55" s="17">
        <f t="shared" si="20"/>
        <v>0.21883107304610538</v>
      </c>
      <c r="F55" s="17">
        <f t="shared" si="20"/>
        <v>0.20668230046131886</v>
      </c>
      <c r="G55" s="17">
        <f t="shared" si="20"/>
        <v>0.19729264406340102</v>
      </c>
      <c r="H55" s="17">
        <f t="shared" si="20"/>
        <v>0.18989693590811652</v>
      </c>
      <c r="I55" s="17">
        <f t="shared" si="20"/>
        <v>0.18398451243574543</v>
      </c>
      <c r="J55" s="17">
        <f t="shared" si="20"/>
        <v>0.17920146674363749</v>
      </c>
      <c r="K55" s="17">
        <f t="shared" si="20"/>
        <v>0.17529478833576179</v>
      </c>
      <c r="L55" s="17">
        <f t="shared" si="21"/>
        <v>0.17207884070358098</v>
      </c>
      <c r="M55" s="17">
        <f t="shared" si="21"/>
        <v>0.16941440229102372</v>
      </c>
      <c r="N55" s="17">
        <f t="shared" si="21"/>
        <v>0.16719509650544748</v>
      </c>
      <c r="O55" s="17">
        <f t="shared" si="21"/>
        <v>0.16533833648818569</v>
      </c>
      <c r="P55" s="17">
        <f t="shared" si="21"/>
        <v>0.16377912089491914</v>
      </c>
      <c r="Q55" s="17">
        <f t="shared" si="21"/>
        <v>0.16246568270471959</v>
      </c>
      <c r="R55" s="17">
        <f t="shared" si="21"/>
        <v>0.16135637348345408</v>
      </c>
      <c r="S55" s="17">
        <f t="shared" si="21"/>
        <v>0.16041739027819552</v>
      </c>
      <c r="T55" s="17">
        <f t="shared" si="21"/>
        <v>0.1596210890893284</v>
      </c>
      <c r="U55" s="17">
        <f t="shared" si="21"/>
        <v>0.15894471431535556</v>
      </c>
      <c r="V55" s="17">
        <f t="shared" si="22"/>
        <v>0.15836942822258851</v>
      </c>
      <c r="W55" s="17">
        <f t="shared" si="22"/>
        <v>0.1578795602034915</v>
      </c>
      <c r="X55" s="17">
        <f t="shared" si="22"/>
        <v>0.15746201937365498</v>
      </c>
      <c r="Y55" s="17">
        <f t="shared" si="22"/>
        <v>0.15710583018074159</v>
      </c>
      <c r="Z55" s="17">
        <f t="shared" si="22"/>
        <v>0.1568017618050366</v>
      </c>
      <c r="AA55" s="17">
        <f t="shared" si="22"/>
        <v>0.15654202989594929</v>
      </c>
      <c r="AB55" s="17">
        <f t="shared" si="22"/>
        <v>0.15632005469266708</v>
      </c>
      <c r="AC55" s="17">
        <f t="shared" si="22"/>
        <v>0.15613026352904741</v>
      </c>
      <c r="AD55" s="17">
        <f t="shared" si="22"/>
        <v>0.15596792859499259</v>
      </c>
      <c r="AE55" s="17">
        <f t="shared" si="22"/>
        <v>0.15582903293809458</v>
      </c>
      <c r="AF55" s="17">
        <f t="shared" si="23"/>
        <v>0.15571015925875628</v>
      </c>
      <c r="AG55" s="17">
        <f t="shared" si="23"/>
        <v>0.15560839723073153</v>
      </c>
      <c r="AH55" s="17">
        <f t="shared" si="23"/>
        <v>0.1555212659732472</v>
      </c>
      <c r="AI55" s="17">
        <f t="shared" si="23"/>
        <v>0.15544664898580432</v>
      </c>
      <c r="AJ55" s="17">
        <f t="shared" si="23"/>
        <v>0.15538273938624772</v>
      </c>
      <c r="AK55" s="17">
        <f t="shared" si="23"/>
        <v>0.15532799370565437</v>
      </c>
    </row>
    <row r="56" spans="1:37">
      <c r="A56" s="13">
        <v>0.1575</v>
      </c>
      <c r="B56" s="17">
        <f t="shared" si="20"/>
        <v>0.29022508689313903</v>
      </c>
      <c r="C56" s="17">
        <f t="shared" si="20"/>
        <v>0.25865316618585632</v>
      </c>
      <c r="D56" s="17">
        <f t="shared" si="20"/>
        <v>0.23663928993940703</v>
      </c>
      <c r="E56" s="17">
        <f t="shared" si="20"/>
        <v>0.22058475155232157</v>
      </c>
      <c r="F56" s="17">
        <f t="shared" si="20"/>
        <v>0.20848887175913755</v>
      </c>
      <c r="G56" s="17">
        <f t="shared" si="20"/>
        <v>0.19915017484942057</v>
      </c>
      <c r="H56" s="17">
        <f t="shared" si="20"/>
        <v>0.19180329269936242</v>
      </c>
      <c r="I56" s="17">
        <f t="shared" si="20"/>
        <v>0.18593741787971901</v>
      </c>
      <c r="J56" s="17">
        <f t="shared" si="20"/>
        <v>0.1811985450737921</v>
      </c>
      <c r="K56" s="17">
        <f t="shared" si="20"/>
        <v>0.17733360370585327</v>
      </c>
      <c r="L56" s="17">
        <f t="shared" si="21"/>
        <v>0.17415693021823347</v>
      </c>
      <c r="M56" s="17">
        <f t="shared" si="21"/>
        <v>0.17152930464805752</v>
      </c>
      <c r="N56" s="17">
        <f t="shared" si="21"/>
        <v>0.1693443767389344</v>
      </c>
      <c r="O56" s="17">
        <f t="shared" si="21"/>
        <v>0.16751960710779293</v>
      </c>
      <c r="P56" s="17">
        <f t="shared" si="21"/>
        <v>0.16599005964057312</v>
      </c>
      <c r="Q56" s="17">
        <f t="shared" si="21"/>
        <v>0.16470404711686201</v>
      </c>
      <c r="R56" s="17">
        <f t="shared" si="21"/>
        <v>0.16362001249688329</v>
      </c>
      <c r="S56" s="17">
        <f t="shared" si="21"/>
        <v>0.16270425306473521</v>
      </c>
      <c r="T56" s="17">
        <f t="shared" si="21"/>
        <v>0.16192923139222171</v>
      </c>
      <c r="U56" s="17">
        <f t="shared" si="21"/>
        <v>0.16127230253168912</v>
      </c>
      <c r="V56" s="17">
        <f t="shared" si="22"/>
        <v>0.16071474149716494</v>
      </c>
      <c r="W56" s="17">
        <f t="shared" si="22"/>
        <v>0.16024099079791726</v>
      </c>
      <c r="X56" s="17">
        <f t="shared" si="22"/>
        <v>0.15983807156841415</v>
      </c>
      <c r="Y56" s="17">
        <f t="shared" si="22"/>
        <v>0.1594951179566054</v>
      </c>
      <c r="Z56" s="17">
        <f t="shared" si="22"/>
        <v>0.15920300553445446</v>
      </c>
      <c r="AA56" s="17">
        <f t="shared" si="22"/>
        <v>0.15895405225626927</v>
      </c>
      <c r="AB56" s="17">
        <f t="shared" si="22"/>
        <v>0.15874177599227207</v>
      </c>
      <c r="AC56" s="17">
        <f t="shared" si="22"/>
        <v>0.15856069661577341</v>
      </c>
      <c r="AD56" s="17">
        <f t="shared" si="22"/>
        <v>0.1584061734943642</v>
      </c>
      <c r="AE56" s="17">
        <f t="shared" si="22"/>
        <v>0.15827427134764713</v>
      </c>
      <c r="AF56" s="17">
        <f t="shared" si="23"/>
        <v>0.15816164900453045</v>
      </c>
      <c r="AG56" s="17">
        <f t="shared" si="23"/>
        <v>0.15806546677328775</v>
      </c>
      <c r="AH56" s="17">
        <f t="shared" si="23"/>
        <v>0.15798330903348556</v>
      </c>
      <c r="AI56" s="17">
        <f t="shared" si="23"/>
        <v>0.15791311934561636</v>
      </c>
      <c r="AJ56" s="17">
        <f t="shared" si="23"/>
        <v>0.15785314590560123</v>
      </c>
      <c r="AK56" s="17">
        <f t="shared" si="23"/>
        <v>0.15780189558608804</v>
      </c>
    </row>
    <row r="57" spans="1:37">
      <c r="A57" s="13">
        <v>0.16</v>
      </c>
      <c r="B57" s="17">
        <f t="shared" si="20"/>
        <v>0.29181668539630956</v>
      </c>
      <c r="C57" s="17">
        <f t="shared" si="20"/>
        <v>0.26030208721378673</v>
      </c>
      <c r="D57" s="17">
        <f t="shared" si="20"/>
        <v>0.23834476732365623</v>
      </c>
      <c r="E57" s="17">
        <f t="shared" si="20"/>
        <v>0.22234543190882791</v>
      </c>
      <c r="F57" s="17">
        <f t="shared" si="20"/>
        <v>0.21030300935341789</v>
      </c>
      <c r="G57" s="17">
        <f t="shared" si="20"/>
        <v>0.20101574556404703</v>
      </c>
      <c r="H57" s="17">
        <f t="shared" si="20"/>
        <v>0.19371807115187448</v>
      </c>
      <c r="I57" s="17">
        <f t="shared" si="20"/>
        <v>0.18789903559883142</v>
      </c>
      <c r="J57" s="17">
        <f t="shared" si="20"/>
        <v>0.18320453764608155</v>
      </c>
      <c r="K57" s="17">
        <f t="shared" si="20"/>
        <v>0.17938145058640298</v>
      </c>
      <c r="L57" s="17">
        <f t="shared" si="21"/>
        <v>0.17624408899610822</v>
      </c>
      <c r="M57" s="17">
        <f t="shared" si="21"/>
        <v>0.17365324066875532</v>
      </c>
      <c r="N57" s="17">
        <f t="shared" si="21"/>
        <v>0.17150258857132489</v>
      </c>
      <c r="O57" s="17">
        <f t="shared" si="21"/>
        <v>0.1697096481599551</v>
      </c>
      <c r="P57" s="17">
        <f t="shared" si="21"/>
        <v>0.16820955616075389</v>
      </c>
      <c r="Q57" s="17">
        <f t="shared" si="21"/>
        <v>0.16695071280325377</v>
      </c>
      <c r="R57" s="17">
        <f t="shared" si="21"/>
        <v>0.16589165995178878</v>
      </c>
      <c r="S57" s="17">
        <f t="shared" si="21"/>
        <v>0.16499880234815317</v>
      </c>
      <c r="T57" s="17">
        <f t="shared" si="21"/>
        <v>0.16424471594807102</v>
      </c>
      <c r="U57" s="17">
        <f t="shared" si="21"/>
        <v>0.16360687277242586</v>
      </c>
      <c r="V57" s="17">
        <f t="shared" si="22"/>
        <v>0.16306666633771941</v>
      </c>
      <c r="W57" s="17">
        <f t="shared" si="22"/>
        <v>0.1626086574275199</v>
      </c>
      <c r="X57" s="17">
        <f t="shared" si="22"/>
        <v>0.16221998373970342</v>
      </c>
      <c r="Y57" s="17">
        <f t="shared" si="22"/>
        <v>0.16188989305658502</v>
      </c>
      <c r="Z57" s="17">
        <f t="shared" si="22"/>
        <v>0.16160937068273956</v>
      </c>
      <c r="AA57" s="17">
        <f t="shared" si="22"/>
        <v>0.16137083965397686</v>
      </c>
      <c r="AB57" s="17">
        <f t="shared" si="22"/>
        <v>0.16116791772111783</v>
      </c>
      <c r="AC57" s="17">
        <f t="shared" si="22"/>
        <v>0.16099521906251102</v>
      </c>
      <c r="AD57" s="17">
        <f t="shared" si="22"/>
        <v>0.16084819155153005</v>
      </c>
      <c r="AE57" s="17">
        <f t="shared" si="22"/>
        <v>0.16072298251834727</v>
      </c>
      <c r="AF57" s="17">
        <f t="shared" si="23"/>
        <v>0.16061632751722998</v>
      </c>
      <c r="AG57" s="17">
        <f t="shared" si="23"/>
        <v>0.16052545779257776</v>
      </c>
      <c r="AH57" s="17">
        <f t="shared" si="23"/>
        <v>0.1604480230348076</v>
      </c>
      <c r="AI57" s="17">
        <f t="shared" si="23"/>
        <v>0.16038202670600532</v>
      </c>
      <c r="AJ57" s="17">
        <f t="shared" si="23"/>
        <v>0.16032577174865673</v>
      </c>
      <c r="AK57" s="17">
        <f t="shared" si="23"/>
        <v>0.16027781490752485</v>
      </c>
    </row>
    <row r="58" spans="1:37">
      <c r="A58" s="13">
        <v>0.16250000000000001</v>
      </c>
      <c r="B58" s="17">
        <f t="shared" si="20"/>
        <v>0.29341307775800696</v>
      </c>
      <c r="C58" s="17">
        <f t="shared" si="20"/>
        <v>0.26195660592292336</v>
      </c>
      <c r="D58" s="17">
        <f t="shared" si="20"/>
        <v>0.24005656879748605</v>
      </c>
      <c r="E58" s="17">
        <f t="shared" si="20"/>
        <v>0.22411307819234177</v>
      </c>
      <c r="F58" s="17">
        <f t="shared" si="20"/>
        <v>0.21212466511242334</v>
      </c>
      <c r="G58" s="17">
        <f t="shared" si="20"/>
        <v>0.2028892941910039</v>
      </c>
      <c r="H58" s="17">
        <f t="shared" si="20"/>
        <v>0.19564119395201152</v>
      </c>
      <c r="I58" s="17">
        <f t="shared" si="20"/>
        <v>0.1898692718957013</v>
      </c>
      <c r="J58" s="17">
        <f t="shared" si="20"/>
        <v>0.18521933366349563</v>
      </c>
      <c r="K58" s="17">
        <f t="shared" si="20"/>
        <v>0.18143820075953432</v>
      </c>
      <c r="L58" s="17">
        <f t="shared" si="21"/>
        <v>0.17834017147674908</v>
      </c>
      <c r="M58" s="17">
        <f t="shared" si="21"/>
        <v>0.17578604791513977</v>
      </c>
      <c r="N58" s="17">
        <f t="shared" si="21"/>
        <v>0.17366955351106414</v>
      </c>
      <c r="O58" s="17">
        <f t="shared" si="21"/>
        <v>0.17190826624238062</v>
      </c>
      <c r="P58" s="17">
        <f t="shared" si="21"/>
        <v>0.17043740355537057</v>
      </c>
      <c r="Q58" s="17">
        <f t="shared" si="21"/>
        <v>0.16920546099472566</v>
      </c>
      <c r="R58" s="17">
        <f t="shared" si="21"/>
        <v>0.16817108699770117</v>
      </c>
      <c r="S58" s="17">
        <f t="shared" si="21"/>
        <v>0.16730080108712569</v>
      </c>
      <c r="T58" s="17">
        <f t="shared" si="21"/>
        <v>0.16656729946405374</v>
      </c>
      <c r="U58" s="17">
        <f t="shared" si="21"/>
        <v>0.16594817743217846</v>
      </c>
      <c r="V58" s="17">
        <f t="shared" si="22"/>
        <v>0.16542495272119478</v>
      </c>
      <c r="W58" s="17">
        <f t="shared" si="22"/>
        <v>0.16498230946532688</v>
      </c>
      <c r="X58" s="17">
        <f t="shared" si="22"/>
        <v>0.16460750635903837</v>
      </c>
      <c r="Y58" s="17">
        <f t="shared" si="22"/>
        <v>0.16428990861842729</v>
      </c>
      <c r="Z58" s="17">
        <f t="shared" si="22"/>
        <v>0.16402061447026151</v>
      </c>
      <c r="AA58" s="17">
        <f t="shared" si="22"/>
        <v>0.16379215464653343</v>
      </c>
      <c r="AB58" s="17">
        <f t="shared" si="22"/>
        <v>0.16359824886120478</v>
      </c>
      <c r="AC58" s="17">
        <f t="shared" si="22"/>
        <v>0.16343360719585953</v>
      </c>
      <c r="AD58" s="17">
        <f t="shared" si="22"/>
        <v>0.16329376719395752</v>
      </c>
      <c r="AE58" s="17">
        <f t="shared" si="22"/>
        <v>0.16317495957779965</v>
      </c>
      <c r="AF58" s="17">
        <f t="shared" si="23"/>
        <v>0.16307399707611839</v>
      </c>
      <c r="AG58" s="17">
        <f t="shared" si="23"/>
        <v>0.16298818203433799</v>
      </c>
      <c r="AH58" s="17">
        <f t="shared" si="23"/>
        <v>0.16291522937975725</v>
      </c>
      <c r="AI58" s="17">
        <f t="shared" si="23"/>
        <v>0.16285320220507202</v>
      </c>
      <c r="AJ58" s="17">
        <f t="shared" si="23"/>
        <v>0.16280045776935534</v>
      </c>
      <c r="AK58" s="17">
        <f t="shared" si="23"/>
        <v>0.16275560213455356</v>
      </c>
    </row>
    <row r="59" spans="1:37">
      <c r="A59" s="13">
        <v>0.16500000000000001</v>
      </c>
      <c r="B59" s="17">
        <f t="shared" si="20"/>
        <v>0.29501425315586771</v>
      </c>
      <c r="C59" s="17">
        <f t="shared" si="20"/>
        <v>0.26361670496385037</v>
      </c>
      <c r="D59" s="17">
        <f t="shared" si="20"/>
        <v>0.24177466854477592</v>
      </c>
      <c r="E59" s="17">
        <f t="shared" si="20"/>
        <v>0.22588765417808987</v>
      </c>
      <c r="F59" s="17">
        <f t="shared" si="20"/>
        <v>0.2139537905632144</v>
      </c>
      <c r="G59" s="17">
        <f t="shared" si="20"/>
        <v>0.2047707583671578</v>
      </c>
      <c r="H59" s="17">
        <f t="shared" si="20"/>
        <v>0.19757258348228807</v>
      </c>
      <c r="I59" s="17">
        <f t="shared" si="20"/>
        <v>0.19184803287435082</v>
      </c>
      <c r="J59" s="17">
        <f t="shared" si="20"/>
        <v>0.18724282230931943</v>
      </c>
      <c r="K59" s="17">
        <f t="shared" si="20"/>
        <v>0.18350372624854391</v>
      </c>
      <c r="L59" s="17">
        <f t="shared" si="21"/>
        <v>0.18044503268836712</v>
      </c>
      <c r="M59" s="17">
        <f t="shared" si="21"/>
        <v>0.17792756497259565</v>
      </c>
      <c r="N59" s="17">
        <f t="shared" si="21"/>
        <v>0.1758450946083667</v>
      </c>
      <c r="O59" s="17">
        <f t="shared" si="21"/>
        <v>0.17411527008935748</v>
      </c>
      <c r="P59" s="17">
        <f t="shared" si="21"/>
        <v>0.17267339772148077</v>
      </c>
      <c r="Q59" s="17">
        <f t="shared" si="21"/>
        <v>0.17146807643226208</v>
      </c>
      <c r="R59" s="17">
        <f t="shared" si="21"/>
        <v>0.17045806904450639</v>
      </c>
      <c r="S59" s="17">
        <f t="shared" si="21"/>
        <v>0.16961001727172453</v>
      </c>
      <c r="T59" s="17">
        <f t="shared" si="21"/>
        <v>0.16889674445392877</v>
      </c>
      <c r="U59" s="17">
        <f t="shared" si="21"/>
        <v>0.1682959754751624</v>
      </c>
      <c r="V59" s="17">
        <f t="shared" si="22"/>
        <v>0.16778935792968191</v>
      </c>
      <c r="W59" s="17">
        <f t="shared" si="22"/>
        <v>0.16736170428376904</v>
      </c>
      <c r="X59" s="17">
        <f t="shared" si="22"/>
        <v>0.16700039853835463</v>
      </c>
      <c r="Y59" s="17">
        <f t="shared" si="22"/>
        <v>0.16669492699823038</v>
      </c>
      <c r="Z59" s="17">
        <f t="shared" si="22"/>
        <v>0.16643650384296182</v>
      </c>
      <c r="AA59" s="17">
        <f t="shared" si="22"/>
        <v>0.16621776994808776</v>
      </c>
      <c r="AB59" s="17">
        <f t="shared" si="22"/>
        <v>0.1660325489029878</v>
      </c>
      <c r="AC59" s="17">
        <f t="shared" si="22"/>
        <v>0.16587564812205297</v>
      </c>
      <c r="AD59" s="17">
        <f t="shared" si="22"/>
        <v>0.16574269581990753</v>
      </c>
      <c r="AE59" s="17">
        <f t="shared" si="22"/>
        <v>0.16563000673767533</v>
      </c>
      <c r="AF59" s="17">
        <f t="shared" si="23"/>
        <v>0.16553447108336672</v>
      </c>
      <c r="AG59" s="17">
        <f t="shared" si="23"/>
        <v>0.16545346233614164</v>
      </c>
      <c r="AH59" s="17">
        <f t="shared" si="23"/>
        <v>0.16538476046706682</v>
      </c>
      <c r="AI59" s="17">
        <f t="shared" si="23"/>
        <v>0.16532648782279388</v>
      </c>
      <c r="AJ59" s="17">
        <f t="shared" si="23"/>
        <v>0.16527705545682342</v>
      </c>
      <c r="AK59" s="17">
        <f t="shared" si="23"/>
        <v>0.16523511811433528</v>
      </c>
    </row>
    <row r="60" spans="1:37">
      <c r="A60" s="13">
        <v>0.16750000000000001</v>
      </c>
      <c r="B60" s="17">
        <f t="shared" si="20"/>
        <v>0.29662020065429101</v>
      </c>
      <c r="C60" s="17">
        <f t="shared" si="20"/>
        <v>0.26528236681339123</v>
      </c>
      <c r="D60" s="17">
        <f t="shared" si="20"/>
        <v>0.24349904051202614</v>
      </c>
      <c r="E60" s="17">
        <f t="shared" si="20"/>
        <v>0.22766912334809775</v>
      </c>
      <c r="F60" s="17">
        <f t="shared" si="20"/>
        <v>0.21579033690488056</v>
      </c>
      <c r="G60" s="17">
        <f t="shared" si="20"/>
        <v>0.20666007540219394</v>
      </c>
      <c r="H60" s="17">
        <f t="shared" si="20"/>
        <v>0.19951216184889853</v>
      </c>
      <c r="I60" s="17">
        <f t="shared" si="20"/>
        <v>0.19383522447668344</v>
      </c>
      <c r="J60" s="17">
        <f t="shared" si="20"/>
        <v>0.18927489279316878</v>
      </c>
      <c r="K60" s="17">
        <f t="shared" si="20"/>
        <v>0.1855778993734043</v>
      </c>
      <c r="L60" s="17">
        <f t="shared" si="21"/>
        <v>0.18255852831188296</v>
      </c>
      <c r="M60" s="17">
        <f t="shared" si="21"/>
        <v>0.18007763152059408</v>
      </c>
      <c r="N60" s="17">
        <f t="shared" si="21"/>
        <v>0.17802903652981253</v>
      </c>
      <c r="O60" s="17">
        <f t="shared" si="21"/>
        <v>0.17633047064650695</v>
      </c>
      <c r="P60" s="17">
        <f t="shared" si="21"/>
        <v>0.17491733742369789</v>
      </c>
      <c r="Q60" s="17">
        <f t="shared" si="21"/>
        <v>0.17373834742793648</v>
      </c>
      <c r="R60" s="17">
        <f t="shared" si="21"/>
        <v>0.17275238580837229</v>
      </c>
      <c r="S60" s="17">
        <f t="shared" si="21"/>
        <v>0.17192622394862361</v>
      </c>
      <c r="T60" s="17">
        <f t="shared" si="21"/>
        <v>0.17123281923687766</v>
      </c>
      <c r="U60" s="17">
        <f t="shared" si="21"/>
        <v>0.1706500324023239</v>
      </c>
      <c r="V60" s="17">
        <f t="shared" si="22"/>
        <v>0.17015964648099563</v>
      </c>
      <c r="W60" s="17">
        <f t="shared" si="22"/>
        <v>0.16974660714454995</v>
      </c>
      <c r="X60" s="17">
        <f t="shared" si="22"/>
        <v>0.16939842787583659</v>
      </c>
      <c r="Y60" s="17">
        <f t="shared" si="22"/>
        <v>0.16910471956981318</v>
      </c>
      <c r="Z60" s="17">
        <f t="shared" si="22"/>
        <v>0.16885681522380763</v>
      </c>
      <c r="AA60" s="17">
        <f t="shared" si="22"/>
        <v>0.16864746813252815</v>
      </c>
      <c r="AB60" s="17">
        <f t="shared" si="22"/>
        <v>0.16847060750048529</v>
      </c>
      <c r="AC60" s="17">
        <f t="shared" si="22"/>
        <v>0.16832113933546689</v>
      </c>
      <c r="AD60" s="17">
        <f t="shared" si="22"/>
        <v>0.16819478336247837</v>
      </c>
      <c r="AE60" s="17">
        <f t="shared" si="22"/>
        <v>0.16808793881612841</v>
      </c>
      <c r="AF60" s="17">
        <f t="shared" si="23"/>
        <v>0.16799757354826361</v>
      </c>
      <c r="AG60" s="17">
        <f t="shared" si="23"/>
        <v>0.16792113207728526</v>
      </c>
      <c r="AH60" s="17">
        <f t="shared" si="23"/>
        <v>0.16785645911144792</v>
      </c>
      <c r="AI60" s="17">
        <f t="shared" si="23"/>
        <v>0.16780173577517848</v>
      </c>
      <c r="AJ60" s="17">
        <f t="shared" si="23"/>
        <v>0.1677554263084659</v>
      </c>
      <c r="AK60" s="17">
        <f t="shared" si="23"/>
        <v>0.16771623343323872</v>
      </c>
    </row>
    <row r="61" spans="1:37">
      <c r="A61" s="13">
        <v>0.17</v>
      </c>
      <c r="B61" s="17">
        <f t="shared" si="20"/>
        <v>0.29823090920556927</v>
      </c>
      <c r="C61" s="17">
        <f t="shared" si="20"/>
        <v>0.26695357377709644</v>
      </c>
      <c r="D61" s="17">
        <f t="shared" si="20"/>
        <v>0.24522965841314409</v>
      </c>
      <c r="E61" s="17">
        <f t="shared" si="20"/>
        <v>0.22945744889948344</v>
      </c>
      <c r="F61" s="17">
        <f t="shared" si="20"/>
        <v>0.21763425502173811</v>
      </c>
      <c r="G61" s="17">
        <f t="shared" si="20"/>
        <v>0.20855718229816911</v>
      </c>
      <c r="H61" s="17">
        <f t="shared" si="20"/>
        <v>0.20145985090895294</v>
      </c>
      <c r="I61" s="17">
        <f t="shared" si="20"/>
        <v>0.19583075251840454</v>
      </c>
      <c r="J61" s="17">
        <f t="shared" si="20"/>
        <v>0.19131543439606491</v>
      </c>
      <c r="K61" s="17">
        <f t="shared" si="20"/>
        <v>0.18766059280475278</v>
      </c>
      <c r="L61" s="17">
        <f t="shared" si="21"/>
        <v>0.18468051474273764</v>
      </c>
      <c r="M61" s="17">
        <f t="shared" si="21"/>
        <v>0.18223608840030997</v>
      </c>
      <c r="N61" s="17">
        <f t="shared" si="21"/>
        <v>0.18022120562882377</v>
      </c>
      <c r="O61" s="17">
        <f t="shared" si="21"/>
        <v>0.17855368114030612</v>
      </c>
      <c r="P61" s="17">
        <f t="shared" si="21"/>
        <v>0.17716902435820761</v>
      </c>
      <c r="Q61" s="17">
        <f t="shared" si="21"/>
        <v>0.17601606591831559</v>
      </c>
      <c r="R61" s="17">
        <f t="shared" si="21"/>
        <v>0.17505382134909969</v>
      </c>
      <c r="S61" s="17">
        <f t="shared" si="21"/>
        <v>0.17424919923685675</v>
      </c>
      <c r="T61" s="17">
        <f t="shared" si="21"/>
        <v>0.17357529792627258</v>
      </c>
      <c r="U61" s="17">
        <f t="shared" si="21"/>
        <v>0.17301012020809056</v>
      </c>
      <c r="V61" s="17">
        <f t="shared" si="22"/>
        <v>0.1725355900489467</v>
      </c>
      <c r="W61" s="17">
        <f t="shared" si="22"/>
        <v>0.172136791078708</v>
      </c>
      <c r="X61" s="17">
        <f t="shared" si="22"/>
        <v>0.17180137029288811</v>
      </c>
      <c r="Y61" s="17">
        <f t="shared" si="22"/>
        <v>0.17151906651663543</v>
      </c>
      <c r="Z61" s="17">
        <f t="shared" si="22"/>
        <v>0.17128133425865927</v>
      </c>
      <c r="AA61" s="17">
        <f t="shared" si="22"/>
        <v>0.17108104133324331</v>
      </c>
      <c r="AB61" s="17">
        <f t="shared" si="22"/>
        <v>0.17091222412578236</v>
      </c>
      <c r="AC61" s="17">
        <f t="shared" si="22"/>
        <v>0.17076988832954604</v>
      </c>
      <c r="AD61" s="17">
        <f t="shared" si="22"/>
        <v>0.17064984585937854</v>
      </c>
      <c r="AE61" s="17">
        <f t="shared" si="22"/>
        <v>0.17054858076946608</v>
      </c>
      <c r="AF61" s="17">
        <f t="shared" si="23"/>
        <v>0.17046313858434667</v>
      </c>
      <c r="AG61" s="17">
        <f t="shared" si="23"/>
        <v>0.17039103464534067</v>
      </c>
      <c r="AH61" s="17">
        <f t="shared" si="23"/>
        <v>0.17033017798379901</v>
      </c>
      <c r="AI61" s="17">
        <f t="shared" si="23"/>
        <v>0.17027880793252642</v>
      </c>
      <c r="AJ61" s="17">
        <f t="shared" si="23"/>
        <v>0.17023544123074583</v>
      </c>
      <c r="AK61" s="17">
        <f t="shared" si="23"/>
        <v>0.17019882780456586</v>
      </c>
    </row>
    <row r="62" spans="1:37">
      <c r="A62" s="13">
        <v>0.17249999999999999</v>
      </c>
      <c r="B62" s="17">
        <f t="shared" si="20"/>
        <v>0.29984636765102696</v>
      </c>
      <c r="C62" s="17">
        <f t="shared" si="20"/>
        <v>0.2686303079917437</v>
      </c>
      <c r="D62" s="17">
        <f t="shared" si="20"/>
        <v>0.24696649573424478</v>
      </c>
      <c r="E62" s="17">
        <f t="shared" si="20"/>
        <v>0.23125259375275353</v>
      </c>
      <c r="F62" s="17">
        <f t="shared" si="20"/>
        <v>0.21948549549648905</v>
      </c>
      <c r="G62" s="17">
        <f t="shared" si="20"/>
        <v>0.21046201576893375</v>
      </c>
      <c r="H62" s="17">
        <f t="shared" si="20"/>
        <v>0.20341557229741225</v>
      </c>
      <c r="I62" s="17">
        <f t="shared" si="20"/>
        <v>0.19783452272436625</v>
      </c>
      <c r="J62" s="17">
        <f t="shared" si="20"/>
        <v>0.19336433651453044</v>
      </c>
      <c r="K62" s="17">
        <f t="shared" si="20"/>
        <v>0.1897516796163467</v>
      </c>
      <c r="L62" s="17">
        <f t="shared" si="21"/>
        <v>0.1868108491504627</v>
      </c>
      <c r="M62" s="17">
        <f t="shared" si="21"/>
        <v>0.18440277767914254</v>
      </c>
      <c r="N62" s="17">
        <f t="shared" si="21"/>
        <v>0.18242143001206498</v>
      </c>
      <c r="O62" s="17">
        <f t="shared" si="21"/>
        <v>0.18078471714247035</v>
      </c>
      <c r="P62" s="17">
        <f t="shared" si="21"/>
        <v>0.17942826321055386</v>
      </c>
      <c r="Q62" s="17">
        <f t="shared" si="21"/>
        <v>0.17830102751058166</v>
      </c>
      <c r="R62" s="17">
        <f t="shared" si="21"/>
        <v>0.17736216409925096</v>
      </c>
      <c r="S62" s="17">
        <f t="shared" si="21"/>
        <v>0.17657872633460281</v>
      </c>
      <c r="T62" s="17">
        <f t="shared" si="21"/>
        <v>0.17592396040898259</v>
      </c>
      <c r="U62" s="17">
        <f t="shared" si="21"/>
        <v>0.17537601732749658</v>
      </c>
      <c r="V62" s="17">
        <f t="shared" si="22"/>
        <v>0.17491696737420467</v>
      </c>
      <c r="W62" s="17">
        <f t="shared" si="22"/>
        <v>0.17453203675790174</v>
      </c>
      <c r="X62" s="17">
        <f t="shared" si="22"/>
        <v>0.17420900986339355</v>
      </c>
      <c r="Y62" s="17">
        <f t="shared" si="22"/>
        <v>0.17393775661751709</v>
      </c>
      <c r="Z62" s="17">
        <f t="shared" si="22"/>
        <v>0.17370985555787058</v>
      </c>
      <c r="AA62" s="17">
        <f t="shared" si="22"/>
        <v>0.17351829094094495</v>
      </c>
      <c r="AB62" s="17">
        <f t="shared" si="22"/>
        <v>0.17335720772427832</v>
      </c>
      <c r="AC62" s="17">
        <f t="shared" si="22"/>
        <v>0.17322171221145788</v>
      </c>
      <c r="AD62" s="17">
        <f t="shared" si="22"/>
        <v>0.17310770902964612</v>
      </c>
      <c r="AE62" s="17">
        <f t="shared" si="22"/>
        <v>0.17301176723415648</v>
      </c>
      <c r="AF62" s="17">
        <f t="shared" si="23"/>
        <v>0.17293100992036803</v>
      </c>
      <c r="AG62" s="17">
        <f t="shared" si="23"/>
        <v>0.17286302292007336</v>
      </c>
      <c r="AH62" s="17">
        <f t="shared" si="23"/>
        <v>0.17280577907228406</v>
      </c>
      <c r="AI62" s="17">
        <f t="shared" si="23"/>
        <v>0.1727575752619806</v>
      </c>
      <c r="AJ62" s="17">
        <f t="shared" si="23"/>
        <v>0.17271697996752294</v>
      </c>
      <c r="AK62" s="17">
        <f t="shared" si="23"/>
        <v>0.17268278948692156</v>
      </c>
    </row>
    <row r="63" spans="1:37">
      <c r="A63" s="13">
        <v>0.17499999999999999</v>
      </c>
      <c r="B63" s="17">
        <f t="shared" ref="B63:K68" si="24">PMT($A63/12,B$2*12,-1)*12</f>
        <v>0.30146656472216637</v>
      </c>
      <c r="C63" s="17">
        <f t="shared" si="24"/>
        <v>0.27031255142784982</v>
      </c>
      <c r="D63" s="17">
        <f t="shared" si="24"/>
        <v>0.24870952573846372</v>
      </c>
      <c r="E63" s="17">
        <f t="shared" si="24"/>
        <v>0.23305452056009765</v>
      </c>
      <c r="F63" s="17">
        <f t="shared" si="24"/>
        <v>0.22134400862333442</v>
      </c>
      <c r="G63" s="17">
        <f t="shared" si="24"/>
        <v>0.21237451225941234</v>
      </c>
      <c r="H63" s="17">
        <f t="shared" si="24"/>
        <v>0.20537924745370822</v>
      </c>
      <c r="I63" s="17">
        <f t="shared" si="24"/>
        <v>0.19984644076331892</v>
      </c>
      <c r="J63" s="17">
        <f t="shared" si="24"/>
        <v>0.19542148870368392</v>
      </c>
      <c r="K63" s="17">
        <f t="shared" si="24"/>
        <v>0.19185103333596909</v>
      </c>
      <c r="L63" s="17">
        <f t="shared" ref="L63:U68" si="25">PMT($A63/12,L$2*12,-1)*12</f>
        <v>0.18894938953600166</v>
      </c>
      <c r="M63" s="17">
        <f t="shared" si="25"/>
        <v>0.18657754271215243</v>
      </c>
      <c r="N63" s="17">
        <f t="shared" si="25"/>
        <v>0.18462953960181497</v>
      </c>
      <c r="O63" s="17">
        <f t="shared" si="25"/>
        <v>0.1830233966292954</v>
      </c>
      <c r="P63" s="17">
        <f t="shared" si="25"/>
        <v>0.18169486170736154</v>
      </c>
      <c r="Q63" s="17">
        <f t="shared" si="25"/>
        <v>0.18059303152162531</v>
      </c>
      <c r="R63" s="17">
        <f t="shared" si="25"/>
        <v>0.179677206885414</v>
      </c>
      <c r="S63" s="17">
        <f t="shared" si="25"/>
        <v>0.17891459351747246</v>
      </c>
      <c r="T63" s="17">
        <f t="shared" si="25"/>
        <v>0.17827859231582022</v>
      </c>
      <c r="U63" s="17">
        <f t="shared" si="25"/>
        <v>0.17774750857441796</v>
      </c>
      <c r="V63" s="17">
        <f t="shared" ref="V63:AE68" si="26">PMT($A63/12,V$2*12,-1)*12</f>
        <v>0.17730356416661591</v>
      </c>
      <c r="W63" s="17">
        <f t="shared" si="26"/>
        <v>0.17693213235790201</v>
      </c>
      <c r="X63" s="17">
        <f t="shared" si="26"/>
        <v>0.17662113863635917</v>
      </c>
      <c r="Y63" s="17">
        <f t="shared" si="26"/>
        <v>0.17636058702732588</v>
      </c>
      <c r="Z63" s="17">
        <f t="shared" si="26"/>
        <v>0.17614218243484278</v>
      </c>
      <c r="AA63" s="17">
        <f t="shared" si="26"/>
        <v>0.17595902730079049</v>
      </c>
      <c r="AB63" s="17">
        <f t="shared" si="26"/>
        <v>0.17580537637189625</v>
      </c>
      <c r="AC63" s="17">
        <f t="shared" si="26"/>
        <v>0.17567643732162966</v>
      </c>
      <c r="AD63" s="17">
        <f t="shared" si="26"/>
        <v>0.1755682078583686</v>
      </c>
      <c r="AE63" s="17">
        <f t="shared" si="26"/>
        <v>0.17547734208008736</v>
      </c>
      <c r="AF63" s="17">
        <f t="shared" ref="AF63:AK68" si="27">PMT($A63/12,AF$2*12,-1)*12</f>
        <v>0.17540104042582658</v>
      </c>
      <c r="AG63" s="17">
        <f t="shared" si="27"/>
        <v>0.17533695877524547</v>
      </c>
      <c r="AH63" s="17">
        <f t="shared" si="27"/>
        <v>0.17528313316455355</v>
      </c>
      <c r="AI63" s="17">
        <f t="shared" si="27"/>
        <v>0.17523791729436339</v>
      </c>
      <c r="AJ63" s="17">
        <f t="shared" si="27"/>
        <v>0.17519993055566283</v>
      </c>
      <c r="AK63" s="17">
        <f t="shared" si="27"/>
        <v>0.1751680147326313</v>
      </c>
    </row>
    <row r="64" spans="1:37">
      <c r="A64" s="13">
        <v>0.17749999999999999</v>
      </c>
      <c r="B64" s="17">
        <f t="shared" si="24"/>
        <v>0.30309148904182004</v>
      </c>
      <c r="C64" s="17">
        <f t="shared" si="24"/>
        <v>0.27200028589219372</v>
      </c>
      <c r="D64" s="17">
        <f t="shared" si="24"/>
        <v>0.25045872147077969</v>
      </c>
      <c r="E64" s="17">
        <f t="shared" si="24"/>
        <v>0.23486319171367775</v>
      </c>
      <c r="F64" s="17">
        <f t="shared" si="24"/>
        <v>0.22320974442103625</v>
      </c>
      <c r="G64" s="17">
        <f t="shared" si="24"/>
        <v>0.2142946079647326</v>
      </c>
      <c r="H64" s="17">
        <f t="shared" si="24"/>
        <v>0.20735079764803499</v>
      </c>
      <c r="I64" s="17">
        <f t="shared" si="24"/>
        <v>0.20186641228205243</v>
      </c>
      <c r="J64" s="17">
        <f t="shared" si="24"/>
        <v>0.19748678071931874</v>
      </c>
      <c r="K64" s="17">
        <f t="shared" si="24"/>
        <v>0.1939585279947707</v>
      </c>
      <c r="L64" s="17">
        <f t="shared" si="25"/>
        <v>0.19109599478678202</v>
      </c>
      <c r="M64" s="17">
        <f t="shared" si="25"/>
        <v>0.18876022820043606</v>
      </c>
      <c r="N64" s="17">
        <f t="shared" si="25"/>
        <v>0.18684536619436509</v>
      </c>
      <c r="O64" s="17">
        <f t="shared" si="25"/>
        <v>0.18526954003606438</v>
      </c>
      <c r="P64" s="17">
        <f t="shared" si="25"/>
        <v>0.18396863066216967</v>
      </c>
      <c r="Q64" s="17">
        <f t="shared" si="25"/>
        <v>0.18289188101036835</v>
      </c>
      <c r="R64" s="17">
        <f t="shared" si="25"/>
        <v>0.18199874694195997</v>
      </c>
      <c r="S64" s="17">
        <f t="shared" si="25"/>
        <v>0.18125659412876932</v>
      </c>
      <c r="T64" s="17">
        <f t="shared" si="25"/>
        <v>0.18063898498372044</v>
      </c>
      <c r="U64" s="17">
        <f t="shared" si="25"/>
        <v>0.18012438507163103</v>
      </c>
      <c r="V64" s="17">
        <f t="shared" si="26"/>
        <v>0.17969517299980842</v>
      </c>
      <c r="W64" s="17">
        <f t="shared" si="26"/>
        <v>0.17933687341523047</v>
      </c>
      <c r="X64" s="17">
        <f t="shared" si="26"/>
        <v>0.17903755645296177</v>
      </c>
      <c r="Y64" s="17">
        <f t="shared" si="26"/>
        <v>0.17878736305372561</v>
      </c>
      <c r="Z64" s="17">
        <f t="shared" si="26"/>
        <v>0.17857812664265824</v>
      </c>
      <c r="AA64" s="17">
        <f t="shared" si="26"/>
        <v>0.17840306940993295</v>
      </c>
      <c r="AB64" s="17">
        <f t="shared" si="26"/>
        <v>0.17825655693534453</v>
      </c>
      <c r="AC64" s="17">
        <f t="shared" si="26"/>
        <v>0.17813389885918357</v>
      </c>
      <c r="AD64" s="17">
        <f t="shared" si="26"/>
        <v>0.17803118619030756</v>
      </c>
      <c r="AE64" s="17">
        <f t="shared" si="26"/>
        <v>0.17794515797583005</v>
      </c>
      <c r="AF64" s="17">
        <f t="shared" si="27"/>
        <v>0.17787309165163756</v>
      </c>
      <c r="AG64" s="17">
        <f t="shared" si="27"/>
        <v>0.17781271259865852</v>
      </c>
      <c r="AH64" s="17">
        <f t="shared" si="27"/>
        <v>0.17776211935122371</v>
      </c>
      <c r="AI64" s="17">
        <f t="shared" si="27"/>
        <v>0.17771972161515331</v>
      </c>
      <c r="AJ64" s="17">
        <f t="shared" si="27"/>
        <v>0.17768418880748885</v>
      </c>
      <c r="AK64" s="17">
        <f t="shared" si="27"/>
        <v>0.17765440726549095</v>
      </c>
    </row>
    <row r="65" spans="1:37">
      <c r="A65" s="13">
        <v>0.18</v>
      </c>
      <c r="B65" s="17">
        <f t="shared" si="24"/>
        <v>0.30472112912530902</v>
      </c>
      <c r="C65" s="17">
        <f t="shared" si="24"/>
        <v>0.27369349303034968</v>
      </c>
      <c r="D65" s="17">
        <f t="shared" si="24"/>
        <v>0.25221405576284761</v>
      </c>
      <c r="E65" s="17">
        <f t="shared" si="24"/>
        <v>0.2366785693539103</v>
      </c>
      <c r="F65" s="17">
        <f t="shared" si="24"/>
        <v>0.22508265264592292</v>
      </c>
      <c r="G65" s="17">
        <f t="shared" si="24"/>
        <v>0.21622223884919606</v>
      </c>
      <c r="H65" s="17">
        <f t="shared" si="24"/>
        <v>0.20933014400729996</v>
      </c>
      <c r="I65" s="17">
        <f t="shared" si="24"/>
        <v>0.20389434293891354</v>
      </c>
      <c r="J65" s="17">
        <f t="shared" si="24"/>
        <v>0.19956010255894913</v>
      </c>
      <c r="K65" s="17">
        <f t="shared" si="24"/>
        <v>0.19607403817503846</v>
      </c>
      <c r="L65" s="17">
        <f t="shared" si="25"/>
        <v>0.1932505247295386</v>
      </c>
      <c r="M65" s="17">
        <f t="shared" si="25"/>
        <v>0.19095068024646089</v>
      </c>
      <c r="N65" s="17">
        <f t="shared" si="25"/>
        <v>0.1890687435145057</v>
      </c>
      <c r="O65" s="17">
        <f t="shared" si="25"/>
        <v>0.18752297030663279</v>
      </c>
      <c r="P65" s="17">
        <f t="shared" si="25"/>
        <v>0.18624938401555513</v>
      </c>
      <c r="Q65" s="17">
        <f t="shared" si="25"/>
        <v>0.18519738280357939</v>
      </c>
      <c r="R65" s="17">
        <f t="shared" si="25"/>
        <v>0.18432658591765577</v>
      </c>
      <c r="S65" s="17">
        <f t="shared" si="25"/>
        <v>0.18360452656219173</v>
      </c>
      <c r="T65" s="17">
        <f t="shared" si="25"/>
        <v>0.18300493541023322</v>
      </c>
      <c r="U65" s="17">
        <f t="shared" si="25"/>
        <v>0.18250644417338899</v>
      </c>
      <c r="V65" s="17">
        <f t="shared" si="26"/>
        <v>0.18209159319888457</v>
      </c>
      <c r="W65" s="17">
        <f t="shared" si="26"/>
        <v>0.18174606267783816</v>
      </c>
      <c r="X65" s="17">
        <f t="shared" si="26"/>
        <v>0.18145807075897172</v>
      </c>
      <c r="Y65" s="17">
        <f t="shared" si="26"/>
        <v>0.18121789793100096</v>
      </c>
      <c r="Z65" s="17">
        <f t="shared" si="26"/>
        <v>0.18101750810982936</v>
      </c>
      <c r="AA65" s="17">
        <f t="shared" si="26"/>
        <v>0.18085024461651905</v>
      </c>
      <c r="AB65" s="17">
        <f t="shared" si="26"/>
        <v>0.18071058473640278</v>
      </c>
      <c r="AC65" s="17">
        <f t="shared" si="26"/>
        <v>0.18059394051415731</v>
      </c>
      <c r="AD65" s="17">
        <f t="shared" si="26"/>
        <v>0.18049649633319212</v>
      </c>
      <c r="AE65" s="17">
        <f t="shared" si="26"/>
        <v>0.18041507596651735</v>
      </c>
      <c r="AF65" s="17">
        <f t="shared" si="27"/>
        <v>0.18034703338636218</v>
      </c>
      <c r="AG65" s="17">
        <f t="shared" si="27"/>
        <v>0.18029016283064661</v>
      </c>
      <c r="AH65" s="17">
        <f t="shared" si="27"/>
        <v>0.18024262455058782</v>
      </c>
      <c r="AI65" s="17">
        <f t="shared" si="27"/>
        <v>0.18020288337932408</v>
      </c>
      <c r="AJ65" s="17">
        <f t="shared" si="27"/>
        <v>0.18016965781953423</v>
      </c>
      <c r="AK65" s="17">
        <f t="shared" si="27"/>
        <v>0.18014187778703267</v>
      </c>
    </row>
    <row r="66" spans="1:37">
      <c r="A66" s="13">
        <v>0.1825</v>
      </c>
      <c r="B66" s="17">
        <f t="shared" si="24"/>
        <v>0.30635547338160962</v>
      </c>
      <c r="C66" s="17">
        <f t="shared" si="24"/>
        <v>0.27539215432923059</v>
      </c>
      <c r="D66" s="17">
        <f t="shared" si="24"/>
        <v>0.25397550123783824</v>
      </c>
      <c r="E66" s="17">
        <f t="shared" si="24"/>
        <v>0.23850061537773676</v>
      </c>
      <c r="F66" s="17">
        <f t="shared" si="24"/>
        <v>0.22696268280483192</v>
      </c>
      <c r="G66" s="17">
        <f t="shared" si="24"/>
        <v>0.21815734066507975</v>
      </c>
      <c r="H66" s="17">
        <f t="shared" si="24"/>
        <v>0.21131720754072247</v>
      </c>
      <c r="I66" s="17">
        <f t="shared" si="24"/>
        <v>0.20593013843668234</v>
      </c>
      <c r="J66" s="17">
        <f t="shared" si="24"/>
        <v>0.20164134450180984</v>
      </c>
      <c r="K66" s="17">
        <f t="shared" si="24"/>
        <v>0.19819743905638154</v>
      </c>
      <c r="L66" s="17">
        <f t="shared" si="25"/>
        <v>0.19541284018089411</v>
      </c>
      <c r="M66" s="17">
        <f t="shared" si="25"/>
        <v>0.1931487464063914</v>
      </c>
      <c r="N66" s="17">
        <f t="shared" si="25"/>
        <v>0.1912995072661656</v>
      </c>
      <c r="O66" s="17">
        <f t="shared" si="25"/>
        <v>0.18978351293830847</v>
      </c>
      <c r="P66" s="17">
        <f t="shared" si="25"/>
        <v>0.18853693886973133</v>
      </c>
      <c r="Q66" s="17">
        <f t="shared" si="25"/>
        <v>0.18750934751544834</v>
      </c>
      <c r="R66" s="17">
        <f t="shared" si="25"/>
        <v>0.18666052987548984</v>
      </c>
      <c r="S66" s="17">
        <f t="shared" si="25"/>
        <v>0.18595819423743748</v>
      </c>
      <c r="T66" s="17">
        <f t="shared" si="25"/>
        <v>0.18537624620089513</v>
      </c>
      <c r="U66" s="17">
        <f t="shared" si="25"/>
        <v>0.18489348938118519</v>
      </c>
      <c r="V66" s="17">
        <f t="shared" si="26"/>
        <v>0.18449263072196576</v>
      </c>
      <c r="W66" s="17">
        <f t="shared" si="26"/>
        <v>0.18415950995066899</v>
      </c>
      <c r="X66" s="17">
        <f t="shared" si="26"/>
        <v>0.18388249641345727</v>
      </c>
      <c r="Y66" s="17">
        <f t="shared" si="26"/>
        <v>0.18365201259189998</v>
      </c>
      <c r="Z66" s="17">
        <f t="shared" si="26"/>
        <v>0.18346015467610916</v>
      </c>
      <c r="AA66" s="17">
        <f t="shared" si="26"/>
        <v>0.1833003883210545</v>
      </c>
      <c r="AB66" s="17">
        <f t="shared" si="26"/>
        <v>0.18316730322108996</v>
      </c>
      <c r="AC66" s="17">
        <f t="shared" si="26"/>
        <v>0.18305641410727169</v>
      </c>
      <c r="AD66" s="17">
        <f t="shared" si="26"/>
        <v>0.18296399867131569</v>
      </c>
      <c r="AE66" s="17">
        <f t="shared" si="26"/>
        <v>0.18288696506481189</v>
      </c>
      <c r="AF66" s="17">
        <f t="shared" si="27"/>
        <v>0.1828227432282874</v>
      </c>
      <c r="AG66" s="17">
        <f t="shared" si="27"/>
        <v>0.1827691955211001</v>
      </c>
      <c r="AH66" s="17">
        <f t="shared" si="27"/>
        <v>0.18272454305441274</v>
      </c>
      <c r="AI66" s="17">
        <f t="shared" si="27"/>
        <v>0.18268730484965545</v>
      </c>
      <c r="AJ66" s="17">
        <f t="shared" si="27"/>
        <v>0.18265624750695456</v>
      </c>
      <c r="AK66" s="17">
        <f t="shared" si="27"/>
        <v>0.18263034351041338</v>
      </c>
    </row>
    <row r="67" spans="1:37">
      <c r="A67" s="13">
        <v>0.185</v>
      </c>
      <c r="B67" s="17">
        <f t="shared" si="24"/>
        <v>0.30799451011452356</v>
      </c>
      <c r="C67" s="17">
        <f t="shared" si="24"/>
        <v>0.27709625111964037</v>
      </c>
      <c r="D67" s="17">
        <f t="shared" si="24"/>
        <v>0.25574303031528434</v>
      </c>
      <c r="E67" s="17">
        <f t="shared" si="24"/>
        <v>0.2403292914468807</v>
      </c>
      <c r="F67" s="17">
        <f t="shared" si="24"/>
        <v>0.22884978416798502</v>
      </c>
      <c r="G67" s="17">
        <f t="shared" si="24"/>
        <v>0.22009984897126181</v>
      </c>
      <c r="H67" s="17">
        <f t="shared" si="24"/>
        <v>0.21331190916506737</v>
      </c>
      <c r="I67" s="17">
        <f t="shared" si="24"/>
        <v>0.20797370455479805</v>
      </c>
      <c r="J67" s="17">
        <f t="shared" si="24"/>
        <v>0.20373039714779781</v>
      </c>
      <c r="K67" s="17">
        <f t="shared" si="24"/>
        <v>0.20032860646032941</v>
      </c>
      <c r="L67" s="17">
        <f t="shared" si="25"/>
        <v>0.19758280299570505</v>
      </c>
      <c r="M67" s="17">
        <f t="shared" si="25"/>
        <v>0.19535427573943925</v>
      </c>
      <c r="N67" s="17">
        <f t="shared" si="25"/>
        <v>0.19353749517927685</v>
      </c>
      <c r="O67" s="17">
        <f t="shared" si="25"/>
        <v>0.19205099602214976</v>
      </c>
      <c r="P67" s="17">
        <f t="shared" si="25"/>
        <v>0.19083111551781071</v>
      </c>
      <c r="Q67" s="17">
        <f t="shared" si="25"/>
        <v>0.18982758956118695</v>
      </c>
      <c r="R67" s="17">
        <f t="shared" si="25"/>
        <v>0.18900038928606827</v>
      </c>
      <c r="S67" s="17">
        <f t="shared" si="25"/>
        <v>0.18831740556916388</v>
      </c>
      <c r="T67" s="17">
        <f t="shared" si="25"/>
        <v>0.18775272551003325</v>
      </c>
      <c r="U67" s="17">
        <f t="shared" si="25"/>
        <v>0.18728533025335081</v>
      </c>
      <c r="V67" s="17">
        <f t="shared" si="26"/>
        <v>0.18689809803632065</v>
      </c>
      <c r="W67" s="17">
        <f t="shared" si="26"/>
        <v>0.18657703193690872</v>
      </c>
      <c r="X67" s="17">
        <f t="shared" si="26"/>
        <v>0.18631065549461678</v>
      </c>
      <c r="Y67" s="17">
        <f t="shared" si="26"/>
        <v>0.18608953543836301</v>
      </c>
      <c r="Z67" s="17">
        <f t="shared" si="26"/>
        <v>0.18590590182922462</v>
      </c>
      <c r="AA67" s="17">
        <f t="shared" si="26"/>
        <v>0.18575334368095986</v>
      </c>
      <c r="AB67" s="17">
        <f t="shared" si="26"/>
        <v>0.18562656363446617</v>
      </c>
      <c r="AC67" s="17">
        <f t="shared" si="26"/>
        <v>0.18552117923789546</v>
      </c>
      <c r="AD67" s="17">
        <f t="shared" si="26"/>
        <v>0.1854335612899532</v>
      </c>
      <c r="AE67" s="17">
        <f t="shared" si="26"/>
        <v>0.18536070185532039</v>
      </c>
      <c r="AF67" s="17">
        <f t="shared" si="27"/>
        <v>0.18530010617352793</v>
      </c>
      <c r="AG67" s="17">
        <f t="shared" si="27"/>
        <v>0.18524970390498813</v>
      </c>
      <c r="AH67" s="17">
        <f t="shared" si="27"/>
        <v>0.1852077760945687</v>
      </c>
      <c r="AI67" s="17">
        <f t="shared" si="27"/>
        <v>0.18517289495803541</v>
      </c>
      <c r="AJ67" s="17">
        <f t="shared" si="27"/>
        <v>0.18514387416288222</v>
      </c>
      <c r="AK67" s="17">
        <f t="shared" si="27"/>
        <v>0.1851197277209698</v>
      </c>
    </row>
    <row r="68" spans="1:37">
      <c r="A68" s="13">
        <v>0.1875</v>
      </c>
      <c r="B68" s="17">
        <f t="shared" si="24"/>
        <v>0.30963822752385711</v>
      </c>
      <c r="C68" s="17">
        <f t="shared" si="24"/>
        <v>0.27880576457883477</v>
      </c>
      <c r="D68" s="17">
        <f t="shared" si="24"/>
        <v>0.25751661521593128</v>
      </c>
      <c r="E68" s="17">
        <f t="shared" si="24"/>
        <v>0.24216455899608685</v>
      </c>
      <c r="F68" s="17">
        <f t="shared" si="24"/>
        <v>0.23074390578178972</v>
      </c>
      <c r="G68" s="17">
        <f t="shared" si="24"/>
        <v>0.22204969915166167</v>
      </c>
      <c r="H68" s="17">
        <f t="shared" si="24"/>
        <v>0.21531416972950468</v>
      </c>
      <c r="I68" s="17">
        <f t="shared" si="24"/>
        <v>0.21002494718091883</v>
      </c>
      <c r="J68" s="17">
        <f t="shared" si="24"/>
        <v>0.20582715145534536</v>
      </c>
      <c r="K68" s="17">
        <f t="shared" si="24"/>
        <v>0.20246741689333908</v>
      </c>
      <c r="L68" s="17">
        <f t="shared" si="25"/>
        <v>0.19976027611318481</v>
      </c>
      <c r="M68" s="17">
        <f t="shared" si="25"/>
        <v>0.19756711885427444</v>
      </c>
      <c r="N68" s="17">
        <f t="shared" si="25"/>
        <v>0.19578254705293907</v>
      </c>
      <c r="O68" s="17">
        <f t="shared" si="25"/>
        <v>0.19432525027880798</v>
      </c>
      <c r="P68" s="17">
        <f t="shared" si="25"/>
        <v>0.19313173746792134</v>
      </c>
      <c r="Q68" s="17">
        <f t="shared" si="25"/>
        <v>0.1921519271649238</v>
      </c>
      <c r="R68" s="17">
        <f t="shared" si="25"/>
        <v>0.19134597901493583</v>
      </c>
      <c r="S68" s="17">
        <f t="shared" si="25"/>
        <v>0.19068197392974884</v>
      </c>
      <c r="T68" s="17">
        <f t="shared" si="25"/>
        <v>0.19013418697553508</v>
      </c>
      <c r="U68" s="17">
        <f t="shared" si="25"/>
        <v>0.18968178230910621</v>
      </c>
      <c r="V68" s="17">
        <f t="shared" si="26"/>
        <v>0.18930781398977164</v>
      </c>
      <c r="W68" s="17">
        <f t="shared" si="26"/>
        <v>0.18899845207567123</v>
      </c>
      <c r="X68" s="17">
        <f t="shared" si="26"/>
        <v>0.18874237710352693</v>
      </c>
      <c r="Y68" s="17">
        <f t="shared" si="26"/>
        <v>0.18853030211193667</v>
      </c>
      <c r="Z68" s="17">
        <f t="shared" si="26"/>
        <v>0.18835459244331332</v>
      </c>
      <c r="AA68" s="17">
        <f t="shared" si="26"/>
        <v>0.18820896131904724</v>
      </c>
      <c r="AB68" s="17">
        <f t="shared" si="26"/>
        <v>0.1880882247017211</v>
      </c>
      <c r="AC68" s="17">
        <f t="shared" si="26"/>
        <v>0.18798810294075077</v>
      </c>
      <c r="AD68" s="17">
        <f t="shared" si="26"/>
        <v>0.18790505961100584</v>
      </c>
      <c r="AE68" s="17">
        <f t="shared" si="26"/>
        <v>0.18783617011270218</v>
      </c>
      <c r="AF68" s="17">
        <f t="shared" si="27"/>
        <v>0.18777901422021659</v>
      </c>
      <c r="AG68" s="17">
        <f t="shared" si="27"/>
        <v>0.18773158799624776</v>
      </c>
      <c r="AH68" s="17">
        <f t="shared" si="27"/>
        <v>0.18769223143015032</v>
      </c>
      <c r="AI68" s="17">
        <f t="shared" si="27"/>
        <v>0.18765956888919266</v>
      </c>
      <c r="AJ68" s="17">
        <f t="shared" si="27"/>
        <v>0.18763246004194217</v>
      </c>
      <c r="AK68" s="17">
        <f t="shared" si="27"/>
        <v>0.18760995936243952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0B19-68B5-4CBA-B201-8ED6C3EC6D07}">
  <dimension ref="A3:B12"/>
  <sheetViews>
    <sheetView topLeftCell="B1" workbookViewId="0">
      <selection activeCell="D7" sqref="D7"/>
    </sheetView>
  </sheetViews>
  <sheetFormatPr defaultRowHeight="14.4"/>
  <cols>
    <col min="1" max="1" width="18.44140625" customWidth="1"/>
    <col min="2" max="2" width="26.6640625" customWidth="1"/>
  </cols>
  <sheetData>
    <row r="3" spans="1:2">
      <c r="A3" t="s">
        <v>115</v>
      </c>
      <c r="B3" t="s">
        <v>77</v>
      </c>
    </row>
    <row r="4" spans="1:2">
      <c r="A4" t="s">
        <v>115</v>
      </c>
      <c r="B4" t="s">
        <v>118</v>
      </c>
    </row>
    <row r="5" spans="1:2">
      <c r="A5" t="s">
        <v>116</v>
      </c>
      <c r="B5" t="s">
        <v>119</v>
      </c>
    </row>
    <row r="6" spans="1:2">
      <c r="A6" t="s">
        <v>117</v>
      </c>
      <c r="B6" t="s">
        <v>95</v>
      </c>
    </row>
    <row r="7" spans="1:2">
      <c r="A7" t="s">
        <v>117</v>
      </c>
      <c r="B7" t="s">
        <v>93</v>
      </c>
    </row>
    <row r="10" spans="1:2">
      <c r="A10" t="s">
        <v>120</v>
      </c>
      <c r="B10" t="s">
        <v>121</v>
      </c>
    </row>
    <row r="11" spans="1:2">
      <c r="A11" t="s">
        <v>122</v>
      </c>
    </row>
    <row r="12" spans="1:2">
      <c r="A1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Profile</vt:lpstr>
      <vt:lpstr>Capacity</vt:lpstr>
      <vt:lpstr>Logic</vt:lpstr>
      <vt:lpstr>OUTPUT</vt:lpstr>
      <vt:lpstr>Loan_Amortization</vt:lpstr>
      <vt:lpstr>Constant Chart</vt:lpstr>
      <vt:lpstr>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Ngozie Omegbu</dc:creator>
  <cp:lastModifiedBy>Ngozie Omegbu</cp:lastModifiedBy>
  <dcterms:created xsi:type="dcterms:W3CDTF">2026-04-08T21:27:54Z</dcterms:created>
  <dcterms:modified xsi:type="dcterms:W3CDTF">2026-04-21T01:57:50Z</dcterms:modified>
</cp:coreProperties>
</file>